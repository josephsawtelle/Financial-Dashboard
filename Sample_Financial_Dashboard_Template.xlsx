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7440c4aa4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b6abfc0c9146ff"/>
    <x:sheet xmlns:r="http://schemas.openxmlformats.org/officeDocument/2006/relationships" name="Transactions" sheetId="2" r:id="Rc824bd0a227a4116"/>
    <x:sheet xmlns:r="http://schemas.openxmlformats.org/officeDocument/2006/relationships" name="A_R Tracker" sheetId="3" r:id="Rfab4b01ada1d463d"/>
    <x:sheet xmlns:r="http://schemas.openxmlformats.org/officeDocument/2006/relationships" name="Categories" sheetId="4" r:id="R930bba7cf6d942c7"/>
    <x:sheet xmlns:r="http://schemas.openxmlformats.org/officeDocument/2006/relationships" name="Instructions" sheetId="5" r:id="R56b65e69e643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yyyy"/>
    <x:numFmt numFmtId="201" formatCode="mmm d, yyyy"/>
    <x:numFmt numFmtId="202" formatCode="$#,##0.00;[Red]($#,##0.00);-"/>
    <x:numFmt numFmtId="203" formatCode="#,##0;[Red](#,##0);-"/>
    <x:numFmt numFmtId="204" formatCode="mmmm yyyy"/>
    <x:numFmt numFmtId="205" formatCode="$#,##0;[Red]($#,##0);-"/>
    <x:numFmt numFmtId="206" formatCode="0.0%;[Red](0.0%);-"/>
    <x:numFmt numFmtId="207" formatCode="mmm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667085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i/>
      <x:sz val="11"/>
      <x:color rgb="FF17324D"/>
      <x:name val="Carlito"/>
    </x:font>
    <x:font>
      <x:b/>
      <x:sz val="11"/>
      <x:color rgb="FF0000FF"/>
      <x:name val="Carlito"/>
    </x:font>
    <x:font>
      <x:b/>
      <x:sz val="20"/>
      <x:color rgb="FF17324D"/>
      <x:name val="Carlito"/>
    </x:font>
    <x:font>
      <x:b/>
      <x:sz val="15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left/>
      <x:bottom/>
    </x:border>
    <x:border>
      <x:bottom/>
    </x:border>
    <x:border>
      <x:left/>
    </x:border>
    <x:border>
      <x:left/>
      <x:bottom/>
    </x:border>
    <x:border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2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5" fillId="0" borderId="8" xfId="0" applyNumberFormat="1" applyFont="1" applyFill="1" applyBorder="1"/>
    <x:xf numFmtId="201" fontId="5" fillId="0" borderId="9" xfId="0" applyNumberFormat="1" applyFont="1" applyFill="1" applyBorder="1"/>
    <x:xf numFmtId="200" fontId="6" fillId="0" borderId="10" xfId="0" applyNumberFormat="1" applyFont="1" applyFill="1" applyBorder="1"/>
    <x:xf numFmtId="0" fontId="5" fillId="0" borderId="10" xfId="0" applyNumberFormat="1" applyFont="1" applyFill="1" applyBorder="1"/>
    <x:xf numFmtId="202" fontId="5" fillId="0" borderId="10" xfId="0" applyNumberFormat="1" applyFont="1" applyFill="1" applyBorder="1"/>
    <x:xf numFmtId="202" fontId="6" fillId="0" borderId="10" xfId="0" applyNumberFormat="1" applyFont="1" applyFill="1" applyBorder="1"/>
    <x:xf numFmtId="0" fontId="6" fillId="0" borderId="10" xfId="0" applyNumberFormat="1" applyFont="1" applyFill="1" applyBorder="1"/>
    <x:xf numFmtId="201" fontId="5" fillId="0" borderId="11" xfId="0" applyNumberFormat="1" applyFont="1" applyFill="1" applyBorder="1"/>
    <x:xf numFmtId="201" fontId="5" fillId="0" borderId="12" xfId="0" applyNumberFormat="1" applyFont="1" applyFill="1" applyBorder="1"/>
    <x:xf numFmtId="200" fontId="6" fillId="0" borderId="13" xfId="0" applyNumberFormat="1" applyFont="1" applyFill="1" applyBorder="1"/>
    <x:xf numFmtId="0" fontId="5" fillId="0" borderId="13" xfId="0" applyNumberFormat="1" applyFont="1" applyFill="1" applyBorder="1"/>
    <x:xf numFmtId="202" fontId="5" fillId="0" borderId="13" xfId="0" applyNumberFormat="1" applyFont="1" applyFill="1" applyBorder="1"/>
    <x:xf numFmtId="202" fontId="6" fillId="0" borderId="13" xfId="0" applyNumberFormat="1" applyFont="1" applyFill="1" applyBorder="1"/>
    <x:xf numFmtId="0" fontId="6" fillId="0" borderId="13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0" fontId="7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4" fontId="8" fillId="4" borderId="0" xfId="0" applyNumberFormat="1" applyFont="1" applyFill="1" applyBorder="1"/>
    <x:xf numFmtId="204" fontId="8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205" fontId="9" fillId="5" borderId="0" xfId="0" applyNumberFormat="1" applyFont="1" applyFill="1" applyBorder="1"/>
    <x:xf numFmtId="205" fontId="9" fillId="5" borderId="0" xfId="0" applyNumberFormat="1" applyFont="1" applyFill="1" applyBorder="1" applyAlignment="1">
      <x:alignment horizontal="center"/>
    </x:xf>
    <x:xf numFmtId="205" fontId="9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205" fontId="9" fillId="5" borderId="1" xfId="0" applyNumberFormat="1" applyFont="1" applyFill="1" applyBorder="1"/>
    <x:xf numFmtId="205" fontId="9" fillId="5" borderId="1" xfId="0" applyNumberFormat="1" applyFont="1" applyFill="1" applyBorder="1" applyAlignment="1">
      <x:alignment horizontal="center"/>
    </x:xf>
    <x:xf numFmtId="205" fontId="9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205" fontId="9" fillId="6" borderId="0" xfId="0" applyNumberFormat="1" applyFont="1" applyFill="1" applyBorder="1"/>
    <x:xf numFmtId="205" fontId="9" fillId="6" borderId="0" xfId="0" applyNumberFormat="1" applyFont="1" applyFill="1" applyBorder="1" applyAlignment="1">
      <x:alignment horizontal="center"/>
    </x:xf>
    <x:xf numFmtId="205" fontId="9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205" fontId="9" fillId="6" borderId="1" xfId="0" applyNumberFormat="1" applyFont="1" applyFill="1" applyBorder="1"/>
    <x:xf numFmtId="205" fontId="9" fillId="6" borderId="1" xfId="0" applyNumberFormat="1" applyFont="1" applyFill="1" applyBorder="1" applyAlignment="1">
      <x:alignment horizontal="center"/>
    </x:xf>
    <x:xf numFmtId="205" fontId="9" fillId="6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205" fontId="9" fillId="3" borderId="0" xfId="0" applyNumberFormat="1" applyFont="1" applyFill="1" applyBorder="1"/>
    <x:xf numFmtId="205" fontId="9" fillId="3" borderId="0" xfId="0" applyNumberFormat="1" applyFont="1" applyFill="1" applyBorder="1" applyAlignment="1">
      <x:alignment horizontal="center"/>
    </x:xf>
    <x:xf numFmtId="205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205" fontId="9" fillId="3" borderId="1" xfId="0" applyNumberFormat="1" applyFont="1" applyFill="1" applyBorder="1"/>
    <x:xf numFmtId="205" fontId="9" fillId="3" borderId="1" xfId="0" applyNumberFormat="1" applyFont="1" applyFill="1" applyBorder="1" applyAlignment="1">
      <x:alignment horizontal="center"/>
    </x:xf>
    <x:xf numFmtId="205" fontId="9" fillId="3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205" fontId="9" fillId="4" borderId="0" xfId="0" applyNumberFormat="1" applyFont="1" applyFill="1" applyBorder="1"/>
    <x:xf numFmtId="205" fontId="9" fillId="4" borderId="0" xfId="0" applyNumberFormat="1" applyFont="1" applyFill="1" applyBorder="1" applyAlignment="1">
      <x:alignment horizontal="center"/>
    </x:xf>
    <x:xf numFmtId="205" fontId="9" fillId="4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/>
    <x:xf numFmtId="205" fontId="9" fillId="4" borderId="1" xfId="0" applyNumberFormat="1" applyFont="1" applyFill="1" applyBorder="1"/>
    <x:xf numFmtId="205" fontId="9" fillId="4" borderId="1" xfId="0" applyNumberFormat="1" applyFont="1" applyFill="1" applyBorder="1" applyAlignment="1">
      <x:alignment horizontal="center"/>
    </x:xf>
    <x:xf numFmtId="205" fontId="9" fillId="4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10" fillId="8" borderId="16" xfId="0" applyNumberFormat="1" applyFont="1" applyFill="1" applyBorder="1"/>
    <x:xf numFmtId="0" fontId="10" fillId="8" borderId="17" xfId="0" applyNumberFormat="1" applyFont="1" applyFill="1" applyBorder="1"/>
    <x:xf numFmtId="206" fontId="10" fillId="8" borderId="14" xfId="0" applyNumberFormat="1" applyFont="1" applyFill="1" applyBorder="1"/>
    <x:xf numFmtId="206" fontId="10" fillId="8" borderId="15" xfId="0" applyNumberFormat="1" applyFont="1" applyFill="1" applyBorder="1"/>
    <x:xf numFmtId="206" fontId="10" fillId="8" borderId="16" xfId="0" applyNumberFormat="1" applyFont="1" applyFill="1" applyBorder="1"/>
    <x:xf numFmtId="206" fontId="10" fillId="8" borderId="17" xfId="0" applyNumberFormat="1" applyFont="1" applyFill="1" applyBorder="1"/>
    <x:xf numFmtId="206" fontId="10" fillId="8" borderId="14" xfId="0" applyNumberFormat="1" applyFont="1" applyFill="1" applyBorder="1" applyAlignment="1">
      <x:alignment horizontal="center"/>
    </x:xf>
    <x:xf numFmtId="206" fontId="10" fillId="8" borderId="15" xfId="0" applyNumberFormat="1" applyFont="1" applyFill="1" applyBorder="1" applyAlignment="1">
      <x:alignment horizontal="center"/>
    </x:xf>
    <x:xf numFmtId="206" fontId="10" fillId="8" borderId="16" xfId="0" applyNumberFormat="1" applyFont="1" applyFill="1" applyBorder="1" applyAlignment="1">
      <x:alignment horizontal="center"/>
    </x:xf>
    <x:xf numFmtId="206" fontId="10" fillId="8" borderId="17" xfId="0" applyNumberFormat="1" applyFont="1" applyFill="1" applyBorder="1" applyAlignment="1">
      <x:alignment horizontal="center"/>
    </x:xf>
    <x:xf numFmtId="206" fontId="10" fillId="8" borderId="14" xfId="0" applyNumberFormat="1" applyFont="1" applyFill="1" applyBorder="1" applyAlignment="1">
      <x:alignment horizontal="center" vertical="center"/>
    </x:xf>
    <x:xf numFmtId="206" fontId="10" fillId="8" borderId="15" xfId="0" applyNumberFormat="1" applyFont="1" applyFill="1" applyBorder="1" applyAlignment="1">
      <x:alignment horizontal="center" vertical="center"/>
    </x:xf>
    <x:xf numFmtId="206" fontId="10" fillId="8" borderId="16" xfId="0" applyNumberFormat="1" applyFont="1" applyFill="1" applyBorder="1" applyAlignment="1">
      <x:alignment horizontal="center" vertical="center"/>
    </x:xf>
    <x:xf numFmtId="206" fontId="10" fillId="8" borderId="17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8" xfId="0" applyNumberFormat="1" applyFont="1" applyFill="1" applyBorder="1"/>
    <x:xf numFmtId="0" fontId="10" fillId="8" borderId="19" xfId="0" applyNumberFormat="1" applyFont="1" applyFill="1" applyBorder="1"/>
    <x:xf numFmtId="0" fontId="10" fillId="8" borderId="20" xfId="0" applyNumberFormat="1" applyFont="1" applyFill="1" applyBorder="1"/>
    <x:xf numFmtId="0" fontId="10" fillId="8" borderId="21" xfId="0" applyNumberFormat="1" applyFont="1" applyFill="1" applyBorder="1"/>
    <x:xf numFmtId="206" fontId="10" fillId="8" borderId="18" xfId="0" applyNumberFormat="1" applyFont="1" applyFill="1" applyBorder="1"/>
    <x:xf numFmtId="206" fontId="10" fillId="8" borderId="19" xfId="0" applyNumberFormat="1" applyFont="1" applyFill="1" applyBorder="1"/>
    <x:xf numFmtId="206" fontId="10" fillId="8" borderId="20" xfId="0" applyNumberFormat="1" applyFont="1" applyFill="1" applyBorder="1"/>
    <x:xf numFmtId="206" fontId="10" fillId="8" borderId="21" xfId="0" applyNumberFormat="1" applyFont="1" applyFill="1" applyBorder="1"/>
    <x:xf numFmtId="206" fontId="10" fillId="8" borderId="18" xfId="0" applyNumberFormat="1" applyFont="1" applyFill="1" applyBorder="1" applyAlignment="1">
      <x:alignment horizontal="center"/>
    </x:xf>
    <x:xf numFmtId="206" fontId="10" fillId="8" borderId="19" xfId="0" applyNumberFormat="1" applyFont="1" applyFill="1" applyBorder="1" applyAlignment="1">
      <x:alignment horizontal="center"/>
    </x:xf>
    <x:xf numFmtId="206" fontId="10" fillId="8" borderId="20" xfId="0" applyNumberFormat="1" applyFont="1" applyFill="1" applyBorder="1" applyAlignment="1">
      <x:alignment horizontal="center"/>
    </x:xf>
    <x:xf numFmtId="206" fontId="10" fillId="8" borderId="21" xfId="0" applyNumberFormat="1" applyFont="1" applyFill="1" applyBorder="1" applyAlignment="1">
      <x:alignment horizontal="center"/>
    </x:xf>
    <x:xf numFmtId="206" fontId="10" fillId="8" borderId="18" xfId="0" applyNumberFormat="1" applyFont="1" applyFill="1" applyBorder="1" applyAlignment="1">
      <x:alignment horizontal="center" vertical="center"/>
    </x:xf>
    <x:xf numFmtId="206" fontId="10" fillId="8" borderId="19" xfId="0" applyNumberFormat="1" applyFont="1" applyFill="1" applyBorder="1" applyAlignment="1">
      <x:alignment horizontal="center" vertical="center"/>
    </x:xf>
    <x:xf numFmtId="206" fontId="10" fillId="8" borderId="20" xfId="0" applyNumberFormat="1" applyFont="1" applyFill="1" applyBorder="1" applyAlignment="1">
      <x:alignment horizontal="center" vertical="center"/>
    </x:xf>
    <x:xf numFmtId="206" fontId="10" fillId="8" borderId="21" xfId="0" applyNumberFormat="1" applyFont="1" applyFill="1" applyBorder="1" applyAlignment="1">
      <x:alignment horizontal="center" vertical="center"/>
    </x:xf>
    <x:xf numFmtId="205" fontId="10" fillId="8" borderId="14" xfId="0" applyNumberFormat="1" applyFont="1" applyFill="1" applyBorder="1"/>
    <x:xf numFmtId="205" fontId="10" fillId="8" borderId="15" xfId="0" applyNumberFormat="1" applyFont="1" applyFill="1" applyBorder="1"/>
    <x:xf numFmtId="205" fontId="10" fillId="8" borderId="16" xfId="0" applyNumberFormat="1" applyFont="1" applyFill="1" applyBorder="1"/>
    <x:xf numFmtId="205" fontId="10" fillId="8" borderId="17" xfId="0" applyNumberFormat="1" applyFont="1" applyFill="1" applyBorder="1"/>
    <x:xf numFmtId="205" fontId="10" fillId="8" borderId="14" xfId="0" applyNumberFormat="1" applyFont="1" applyFill="1" applyBorder="1" applyAlignment="1">
      <x:alignment horizontal="center"/>
    </x:xf>
    <x:xf numFmtId="205" fontId="10" fillId="8" borderId="15" xfId="0" applyNumberFormat="1" applyFont="1" applyFill="1" applyBorder="1" applyAlignment="1">
      <x:alignment horizontal="center"/>
    </x:xf>
    <x:xf numFmtId="205" fontId="10" fillId="8" borderId="16" xfId="0" applyNumberFormat="1" applyFont="1" applyFill="1" applyBorder="1" applyAlignment="1">
      <x:alignment horizontal="center"/>
    </x:xf>
    <x:xf numFmtId="205" fontId="10" fillId="8" borderId="17" xfId="0" applyNumberFormat="1" applyFont="1" applyFill="1" applyBorder="1" applyAlignment="1">
      <x:alignment horizontal="center"/>
    </x:xf>
    <x:xf numFmtId="205" fontId="10" fillId="8" borderId="14" xfId="0" applyNumberFormat="1" applyFont="1" applyFill="1" applyBorder="1" applyAlignment="1">
      <x:alignment horizontal="center" vertical="center"/>
    </x:xf>
    <x:xf numFmtId="205" fontId="10" fillId="8" borderId="15" xfId="0" applyNumberFormat="1" applyFont="1" applyFill="1" applyBorder="1" applyAlignment="1">
      <x:alignment horizontal="center" vertical="center"/>
    </x:xf>
    <x:xf numFmtId="205" fontId="10" fillId="8" borderId="16" xfId="0" applyNumberFormat="1" applyFont="1" applyFill="1" applyBorder="1" applyAlignment="1">
      <x:alignment horizontal="center" vertical="center"/>
    </x:xf>
    <x:xf numFmtId="205" fontId="10" fillId="8" borderId="17" xfId="0" applyNumberFormat="1" applyFont="1" applyFill="1" applyBorder="1" applyAlignment="1">
      <x:alignment horizontal="center" vertical="center"/>
    </x:xf>
    <x:xf numFmtId="205" fontId="10" fillId="8" borderId="18" xfId="0" applyNumberFormat="1" applyFont="1" applyFill="1" applyBorder="1"/>
    <x:xf numFmtId="205" fontId="10" fillId="8" borderId="19" xfId="0" applyNumberFormat="1" applyFont="1" applyFill="1" applyBorder="1"/>
    <x:xf numFmtId="205" fontId="10" fillId="8" borderId="20" xfId="0" applyNumberFormat="1" applyFont="1" applyFill="1" applyBorder="1"/>
    <x:xf numFmtId="205" fontId="10" fillId="8" borderId="21" xfId="0" applyNumberFormat="1" applyFont="1" applyFill="1" applyBorder="1"/>
    <x:xf numFmtId="205" fontId="10" fillId="8" borderId="18" xfId="0" applyNumberFormat="1" applyFont="1" applyFill="1" applyBorder="1" applyAlignment="1">
      <x:alignment horizontal="center"/>
    </x:xf>
    <x:xf numFmtId="205" fontId="10" fillId="8" borderId="19" xfId="0" applyNumberFormat="1" applyFont="1" applyFill="1" applyBorder="1" applyAlignment="1">
      <x:alignment horizontal="center"/>
    </x:xf>
    <x:xf numFmtId="205" fontId="10" fillId="8" borderId="20" xfId="0" applyNumberFormat="1" applyFont="1" applyFill="1" applyBorder="1" applyAlignment="1">
      <x:alignment horizontal="center"/>
    </x:xf>
    <x:xf numFmtId="205" fontId="10" fillId="8" borderId="21" xfId="0" applyNumberFormat="1" applyFont="1" applyFill="1" applyBorder="1" applyAlignment="1">
      <x:alignment horizontal="center"/>
    </x:xf>
    <x:xf numFmtId="205" fontId="10" fillId="8" borderId="18" xfId="0" applyNumberFormat="1" applyFont="1" applyFill="1" applyBorder="1" applyAlignment="1">
      <x:alignment horizontal="center" vertical="center"/>
    </x:xf>
    <x:xf numFmtId="205" fontId="10" fillId="8" borderId="19" xfId="0" applyNumberFormat="1" applyFont="1" applyFill="1" applyBorder="1" applyAlignment="1">
      <x:alignment horizontal="center" vertical="center"/>
    </x:xf>
    <x:xf numFmtId="205" fontId="10" fillId="8" borderId="20" xfId="0" applyNumberFormat="1" applyFont="1" applyFill="1" applyBorder="1" applyAlignment="1">
      <x:alignment horizontal="center" vertical="center"/>
    </x:xf>
    <x:xf numFmtId="205" fontId="10" fillId="8" borderId="21" xfId="0" applyNumberFormat="1" applyFont="1" applyFill="1" applyBorder="1" applyAlignment="1">
      <x:alignment horizontal="center" vertical="center"/>
    </x:xf>
    <x:xf numFmtId="203" fontId="10" fillId="8" borderId="14" xfId="0" applyNumberFormat="1" applyFont="1" applyFill="1" applyBorder="1"/>
    <x:xf numFmtId="203" fontId="10" fillId="8" borderId="15" xfId="0" applyNumberFormat="1" applyFont="1" applyFill="1" applyBorder="1"/>
    <x:xf numFmtId="203" fontId="10" fillId="8" borderId="16" xfId="0" applyNumberFormat="1" applyFont="1" applyFill="1" applyBorder="1"/>
    <x:xf numFmtId="203" fontId="10" fillId="8" borderId="17" xfId="0" applyNumberFormat="1" applyFont="1" applyFill="1" applyBorder="1"/>
    <x:xf numFmtId="203" fontId="10" fillId="8" borderId="14" xfId="0" applyNumberFormat="1" applyFont="1" applyFill="1" applyBorder="1" applyAlignment="1">
      <x:alignment horizontal="center"/>
    </x:xf>
    <x:xf numFmtId="203" fontId="10" fillId="8" borderId="15" xfId="0" applyNumberFormat="1" applyFont="1" applyFill="1" applyBorder="1" applyAlignment="1">
      <x:alignment horizontal="center"/>
    </x:xf>
    <x:xf numFmtId="203" fontId="10" fillId="8" borderId="16" xfId="0" applyNumberFormat="1" applyFont="1" applyFill="1" applyBorder="1" applyAlignment="1">
      <x:alignment horizontal="center"/>
    </x:xf>
    <x:xf numFmtId="203" fontId="10" fillId="8" borderId="17" xfId="0" applyNumberFormat="1" applyFont="1" applyFill="1" applyBorder="1" applyAlignment="1">
      <x:alignment horizontal="center"/>
    </x:xf>
    <x:xf numFmtId="203" fontId="10" fillId="8" borderId="14" xfId="0" applyNumberFormat="1" applyFont="1" applyFill="1" applyBorder="1" applyAlignment="1">
      <x:alignment horizontal="center" vertical="center"/>
    </x:xf>
    <x:xf numFmtId="203" fontId="10" fillId="8" borderId="15" xfId="0" applyNumberFormat="1" applyFont="1" applyFill="1" applyBorder="1" applyAlignment="1">
      <x:alignment horizontal="center" vertical="center"/>
    </x:xf>
    <x:xf numFmtId="203" fontId="10" fillId="8" borderId="16" xfId="0" applyNumberFormat="1" applyFont="1" applyFill="1" applyBorder="1" applyAlignment="1">
      <x:alignment horizontal="center" vertical="center"/>
    </x:xf>
    <x:xf numFmtId="203" fontId="10" fillId="8" borderId="17" xfId="0" applyNumberFormat="1" applyFont="1" applyFill="1" applyBorder="1" applyAlignment="1">
      <x:alignment horizontal="center" vertical="center"/>
    </x:xf>
    <x:xf numFmtId="203" fontId="10" fillId="8" borderId="18" xfId="0" applyNumberFormat="1" applyFont="1" applyFill="1" applyBorder="1"/>
    <x:xf numFmtId="203" fontId="10" fillId="8" borderId="19" xfId="0" applyNumberFormat="1" applyFont="1" applyFill="1" applyBorder="1"/>
    <x:xf numFmtId="203" fontId="10" fillId="8" borderId="20" xfId="0" applyNumberFormat="1" applyFont="1" applyFill="1" applyBorder="1"/>
    <x:xf numFmtId="203" fontId="10" fillId="8" borderId="21" xfId="0" applyNumberFormat="1" applyFont="1" applyFill="1" applyBorder="1"/>
    <x:xf numFmtId="203" fontId="10" fillId="8" borderId="18" xfId="0" applyNumberFormat="1" applyFont="1" applyFill="1" applyBorder="1" applyAlignment="1">
      <x:alignment horizontal="center"/>
    </x:xf>
    <x:xf numFmtId="203" fontId="10" fillId="8" borderId="19" xfId="0" applyNumberFormat="1" applyFont="1" applyFill="1" applyBorder="1" applyAlignment="1">
      <x:alignment horizontal="center"/>
    </x:xf>
    <x:xf numFmtId="203" fontId="10" fillId="8" borderId="20" xfId="0" applyNumberFormat="1" applyFont="1" applyFill="1" applyBorder="1" applyAlignment="1">
      <x:alignment horizontal="center"/>
    </x:xf>
    <x:xf numFmtId="203" fontId="10" fillId="8" borderId="21" xfId="0" applyNumberFormat="1" applyFont="1" applyFill="1" applyBorder="1" applyAlignment="1">
      <x:alignment horizontal="center"/>
    </x:xf>
    <x:xf numFmtId="203" fontId="10" fillId="8" borderId="18" xfId="0" applyNumberFormat="1" applyFont="1" applyFill="1" applyBorder="1" applyAlignment="1">
      <x:alignment horizontal="center" vertical="center"/>
    </x:xf>
    <x:xf numFmtId="203" fontId="10" fillId="8" borderId="19" xfId="0" applyNumberFormat="1" applyFont="1" applyFill="1" applyBorder="1" applyAlignment="1">
      <x:alignment horizontal="center" vertical="center"/>
    </x:xf>
    <x:xf numFmtId="203" fontId="10" fillId="8" borderId="20" xfId="0" applyNumberFormat="1" applyFont="1" applyFill="1" applyBorder="1" applyAlignment="1">
      <x:alignment horizontal="center" vertical="center"/>
    </x:xf>
    <x:xf numFmtId="203" fontId="10" fillId="8" borderId="21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d04071f00464f" /><Relationship Type="http://schemas.openxmlformats.org/officeDocument/2006/relationships/theme" Target="/xl/theme/theme1.xml" Id="R8d980d0bd6144998" /><Relationship Type="http://schemas.openxmlformats.org/officeDocument/2006/relationships/sharedStrings" Target="/xl/sharedStrings.xml" Id="Re72b77a059ca4ac4" /><Relationship Type="http://schemas.openxmlformats.org/officeDocument/2006/relationships/worksheet" Target="/xl/worksheets/sheet1.xml" Id="Rabb6abfc0c9146ff" /><Relationship Type="http://schemas.openxmlformats.org/officeDocument/2006/relationships/worksheet" Target="/xl/worksheets/sheet2.xml" Id="Rc824bd0a227a4116" /><Relationship Type="http://schemas.openxmlformats.org/officeDocument/2006/relationships/worksheet" Target="/xl/worksheets/sheet3.xml" Id="Rfab4b01ada1d463d" /><Relationship Type="http://schemas.openxmlformats.org/officeDocument/2006/relationships/worksheet" Target="/xl/worksheets/sheet4.xml" Id="R930bba7cf6d942c7" /><Relationship Type="http://schemas.openxmlformats.org/officeDocument/2006/relationships/worksheet" Target="/xl/worksheets/sheet5.xml" Id="R56b65e69e6434e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04a82dd1114b77" /><Relationship Type="http://schemas.openxmlformats.org/officeDocument/2006/relationships/chart" Target="/xl/drawings/charts/chart2.xml" Id="R22c7a8ce16a741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12-Month Revenue, Expenses &amp; Cash Flow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 ($)</c:v>
          </c:tx>
          <c:cat>
            <c:strRef>
              <c:f>'Dashboard'!$A$17:$A$28</c:f>
              <c:strCache>
                <c:ptCount val="0"/>
              </c:strCache>
            </c:strRef>
          </c:cat>
          <c:val>
            <c:numRef>
              <c:f>'Dashboard'!$B$17:$B$28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 ($)</c:v>
          </c:tx>
          <c:cat>
            <c:strRef>
              <c:f>'Dashboard'!$A$17:$A$28</c:f>
              <c:strCache>
                <c:ptCount val="0"/>
              </c:strCache>
            </c:strRef>
          </c:cat>
          <c:val>
            <c:numRef>
              <c:f>'Dashboard'!$C$17:$C$28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Cash Flow ($)</c:v>
          </c:tx>
          <c:cat>
            <c:strRef>
              <c:f>'Dashboard'!$A$17:$A$28</c:f>
              <c:strCache>
                <c:ptCount val="0"/>
              </c:strCache>
            </c:strRef>
          </c:cat>
          <c:val>
            <c:numRef>
              <c:f>'Dashboard'!$D$17:$D$28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Mix — Selected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Selected Month ($)</c:v>
          </c:tx>
          <c:cat>
            <c:strRef>
              <c:f>'Dashboard'!$F$17:$F$30</c:f>
              <c:strCache>
                <c:ptCount val="0"/>
              </c:strCache>
            </c:strRef>
          </c:cat>
          <c:val>
            <c:numRef>
              <c:f>'Dashboard'!$G$17:$G$30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04a82dd1114b77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c7a8ce16a741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Table" displayName="TransactionsTable" ref="A2:O140" headerRowCount="1">
  <x:tableColumns count="15">
    <x:tableColumn id="1" name="Date"/>
    <x:tableColumn id="2" name="Month"/>
    <x:tableColumn id="3" name="Transaction ID"/>
    <x:tableColumn id="4" name="Type"/>
    <x:tableColumn id="5" name="Category"/>
    <x:tableColumn id="6" name="Customer / Project"/>
    <x:tableColumn id="7" name="Description"/>
    <x:tableColumn id="8" name="Amount ($)"/>
    <x:tableColumn id="9" name="Payment Status"/>
    <x:tableColumn id="10" name="Invoice / Ref #"/>
    <x:tableColumn id="11" name="Revenue ($)"/>
    <x:tableColumn id="12" name="Expense ($)"/>
    <x:tableColumn id="13" name="Net Cash Flow ($)"/>
    <x:tableColumn id="14" name="Needs Review?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RTable" displayName="ARTable" ref="A2:K200" headerRowCount="1">
  <x:tableColumns count="11">
    <x:tableColumn id="1" name="Invoice #"/>
    <x:tableColumn id="2" name="Customer"/>
    <x:tableColumn id="3" name="Invoice Date"/>
    <x:tableColumn id="4" name="Due Date"/>
    <x:tableColumn id="5" name="Original Amount ($)"/>
    <x:tableColumn id="6" name="Amount Paid ($)"/>
    <x:tableColumn id="7" name="Balance Due ($)"/>
    <x:tableColumn id="8" name="Status"/>
    <x:tableColumn id="9" name="Days Outstanding"/>
    <x:tableColumn id="10" name="Expected Collection Date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14914ec84b41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eb9545b06846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beb7a4c3a74a5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" hidden="0" customWidth="1"/>
    <x:col min="6" max="6" width="20" hidden="0" customWidth="1"/>
    <x:col min="7" max="7" width="15" hidden="0" customWidth="1"/>
    <x:col min="8" max="8" width="14" hidden="0" customWidth="1"/>
    <x:col min="9" max="9" width="3" hidden="0" customWidth="1"/>
    <x:col min="10" max="10" width="18" hidden="0" customWidth="1"/>
    <x:col min="11" max="11" width="16" hidden="0" customWidth="1"/>
    <x:col min="12" max="12" width="14" hidden="0" customWidth="1"/>
  </x:cols>
  <x:sheetData>
    <x:row r="1" ht="32" customHeight="1">
      <x:c r="A1" s="5" t="str">
        <x:v>Business Performance Dashboard</x:v>
      </x:c>
    </x:row>
    <x:row r="2">
      <x:c r="A2" s="80" t="str">
        <x:v>Replace sample data on the Transactions and A_R Tracker tabs; this dashboard updates automatically.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</x:row>
    <x:row r="4">
      <x:c r="A4" s="85" t="str">
        <x:v>Reporting Month</x:v>
      </x:c>
      <x:c r="B4" s="90" t="n">
        <x:v>46174</x:v>
      </x:c>
    </x:row>
    <x:row r="6">
      <x:c r="A6" s="93" t="str">
        <x:v>Revenue</x:v>
      </x:c>
      <x:c r="B6" s="93"/>
      <x:c r="C6" s="93"/>
      <x:c r="D6" s="93" t="str">
        <x:v>Expenses</x:v>
      </x:c>
      <x:c r="E6" s="93"/>
      <x:c r="F6" s="93"/>
      <x:c r="G6" s="93" t="str">
        <x:v>Net Cash Flow</x:v>
      </x:c>
      <x:c r="H6" s="93"/>
      <x:c r="I6" s="93"/>
      <x:c r="J6" s="93" t="str">
        <x:v>Outstanding A/R</x:v>
      </x:c>
      <x:c r="K6" s="93"/>
      <x:c r="L6" s="93"/>
    </x:row>
    <x:row r="7">
      <x:c r="A7" s="100" t="n">
        <x:f>SUMIFS(Transactions!$K:$K,Transactions!$B:$B,$B$4)</x:f>
        <x:v>35211</x:v>
      </x:c>
      <x:c r="B7" s="100"/>
      <x:c r="C7" s="100"/>
      <x:c r="D7" s="110" t="n">
        <x:f>SUMIFS(Transactions!$L:$L,Transactions!$B:$B,$B$4)</x:f>
        <x:v>16279</x:v>
      </x:c>
      <x:c r="E7" s="110"/>
      <x:c r="F7" s="110"/>
      <x:c r="G7" s="119" t="n">
        <x:f>SUMIFS(Transactions!$M:$M,Transactions!$B:$B,$B$4)</x:f>
        <x:v>18932</x:v>
      </x:c>
      <x:c r="H7" s="119"/>
      <x:c r="I7" s="119"/>
      <x:c r="J7" s="127" t="n">
        <x:f>SUM('A_R Tracker'!$G:$G)</x:f>
        <x:v>18450</x:v>
      </x:c>
      <x:c r="K7" s="127"/>
      <x:c r="L7" s="127"/>
    </x:row>
    <x:row r="8">
      <x:c r="A8" s="100"/>
      <x:c r="B8" s="100"/>
      <x:c r="C8" s="100"/>
      <x:c r="D8" s="110"/>
      <x:c r="E8" s="110"/>
      <x:c r="F8" s="110"/>
      <x:c r="G8" s="119"/>
      <x:c r="H8" s="119"/>
      <x:c r="I8" s="119"/>
      <x:c r="J8" s="127"/>
      <x:c r="K8" s="127"/>
      <x:c r="L8" s="127"/>
    </x:row>
    <x:row r="9">
      <x:c r="A9" s="100"/>
      <x:c r="B9" s="100"/>
      <x:c r="C9" s="100"/>
      <x:c r="D9" s="110"/>
      <x:c r="E9" s="110"/>
      <x:c r="F9" s="110"/>
      <x:c r="G9" s="119"/>
      <x:c r="H9" s="119"/>
      <x:c r="I9" s="119"/>
      <x:c r="J9" s="127"/>
      <x:c r="K9" s="127"/>
      <x:c r="L9" s="127"/>
    </x:row>
    <x:row r="11">
      <x:c r="A11" s="135" t="str">
        <x:v>Profit Margin</x:v>
      </x:c>
      <x:c r="B11" s="135"/>
      <x:c r="C11" s="135" t="str">
        <x:v>Unpaid Revenue</x:v>
      </x:c>
      <x:c r="D11" s="135"/>
      <x:c r="E11" s="135" t="str">
        <x:v>Overdue Invoices</x:v>
      </x:c>
      <x:c r="F11" s="135"/>
      <x:c r="G11" s="135" t="str">
        <x:v>Avg. Invoice Size</x:v>
      </x:c>
      <x:c r="H11" s="135"/>
      <x:c r="I11" s="135" t="str">
        <x:v>Transactions to Review</x:v>
      </x:c>
      <x:c r="J11" s="135"/>
      <x:c r="K11" s="135" t="str">
        <x:v>Cash Collection Rate</x:v>
      </x:c>
      <x:c r="L11" s="135"/>
    </x:row>
    <x:row r="12">
      <x:c r="A12" s="154" t="n">
        <x:f>IFERROR(G7/A7,0)</x:f>
        <x:v>0.537672886313936</x:v>
      </x:c>
      <x:c r="B12" s="155"/>
      <x:c r="C12" s="184" t="n">
        <x:f>SUMIFS(Transactions!$K:$K,Transactions!$B:$B,$B$4,Transactions!$I:$I,"&lt;&gt;Paid")</x:f>
        <x:v>10962</x:v>
      </x:c>
      <x:c r="D12" s="185"/>
      <x:c r="E12" s="208" t="n">
        <x:f>COUNTIF('A_R Tracker'!$H:$H,"Overdue")</x:f>
        <x:v>2</x:v>
      </x:c>
      <x:c r="F12" s="209"/>
      <x:c r="G12" s="184" t="n">
        <x:f>IFERROR(SUMIFS(Transactions!$K:$K,Transactions!$B:$B,$B$4)/COUNTIFS(Transactions!$B:$B,$B$4,Transactions!$K:$K,"&gt;0"),0)</x:f>
        <x:v>3201</x:v>
      </x:c>
      <x:c r="H12" s="185"/>
      <x:c r="I12" s="208" t="n">
        <x:f>COUNTIF(Transactions!$N:$N,"Yes")</x:f>
        <x:v>0</x:v>
      </x:c>
      <x:c r="J12" s="209"/>
      <x:c r="K12" s="154" t="n">
        <x:f>IFERROR(SUM('A_R Tracker'!$F:$F)/SUM('A_R Tracker'!$E:$E),0)</x:f>
        <x:v>0.32044198895027626</x:v>
      </x:c>
      <x:c r="L12" s="155"/>
    </x:row>
    <x:row r="13">
      <x:c r="A13" s="156"/>
      <x:c r="B13" s="157"/>
      <x:c r="C13" s="186"/>
      <x:c r="D13" s="187"/>
      <x:c r="E13" s="210"/>
      <x:c r="F13" s="211"/>
      <x:c r="G13" s="186"/>
      <x:c r="H13" s="187"/>
      <x:c r="I13" s="210"/>
      <x:c r="J13" s="211"/>
      <x:c r="K13" s="156"/>
      <x:c r="L13" s="157"/>
    </x:row>
    <x:row r="16">
      <x:c r="A16" s="20" t="str">
        <x:v>Month</x:v>
      </x:c>
      <x:c r="B16" s="21" t="str">
        <x:v>Revenue ($)</x:v>
      </x:c>
      <x:c r="C16" s="21" t="str">
        <x:v>Expenses ($)</x:v>
      </x:c>
      <x:c r="D16" s="22" t="str">
        <x:v>Net Cash Flow ($)</x:v>
      </x:c>
      <x:c r="F16" s="20" t="str">
        <x:v>Expense Category</x:v>
      </x:c>
      <x:c r="G16" s="21" t="str">
        <x:v>Selected Month ($)</x:v>
      </x:c>
      <x:c r="H16" s="22" t="str">
        <x:v>% of Expenses</x:v>
      </x:c>
      <x:c r="J16" s="20" t="str">
        <x:v>A/R Aging Bucket</x:v>
      </x:c>
      <x:c r="K16" s="21" t="str">
        <x:v>Balance Due ($)</x:v>
      </x:c>
      <x:c r="L16" s="22" t="str">
        <x:v>% of A/R</x:v>
      </x:c>
    </x:row>
    <x:row r="17">
      <x:c r="A17" s="224" t="n">
        <x:v>46023</x:v>
      </x:c>
      <x:c r="B17" s="226" t="n">
        <x:f>SUMIFS(Transactions!$K:$K,Transactions!$B:$B,A17)</x:f>
        <x:v>45680</x:v>
      </x:c>
      <x:c r="C17" s="226" t="n">
        <x:f>SUMIFS(Transactions!$L:$L,Transactions!$B:$B,A17)</x:f>
        <x:v>12566</x:v>
      </x:c>
      <x:c r="D17" s="226" t="n">
        <x:f>B17-C17</x:f>
        <x:v>33114</x:v>
      </x:c>
      <x:c r="F17" t="str">
        <x:v>Materials</x:v>
      </x:c>
      <x:c r="G17" s="226" t="n">
        <x:f>SUMIFS(Transactions!$L:$L,Transactions!$B:$B,$B$4,Transactions!$E:$E,F17)</x:f>
        <x:v>0</x:v>
      </x:c>
      <x:c r="H17" s="228" t="n">
        <x:f>IFERROR(G17/$D$7,0)</x:f>
        <x:v>0</x:v>
      </x:c>
      <x:c r="J17" t="str">
        <x:v>Current</x:v>
      </x:c>
      <x:c r="K17" s="226" t="n">
        <x:f>SUMIFS('A_R Tracker'!$G:$G,'A_R Tracker'!$I:$I,"&lt;=30")</x:f>
        <x:v>7950</x:v>
      </x:c>
      <x:c r="L17" s="228" t="n">
        <x:f>IFERROR(K17/$J$7,0)</x:f>
        <x:v>0.43089430894308944</x:v>
      </x:c>
    </x:row>
    <x:row r="18">
      <x:c r="A18" s="224" t="n">
        <x:v>46054</x:v>
      </x:c>
      <x:c r="B18" s="226" t="n">
        <x:f>SUMIFS(Transactions!$K:$K,Transactions!$B:$B,A18)</x:f>
        <x:v>28622</x:v>
      </x:c>
      <x:c r="C18" s="226" t="n">
        <x:f>SUMIFS(Transactions!$L:$L,Transactions!$B:$B,A18)</x:f>
        <x:v>8502</x:v>
      </x:c>
      <x:c r="D18" s="226" t="n">
        <x:f>B18-C18</x:f>
        <x:v>20120</x:v>
      </x:c>
      <x:c r="F18" t="str">
        <x:v>Subcontractors</x:v>
      </x:c>
      <x:c r="G18" s="226" t="n">
        <x:f>SUMIFS(Transactions!$L:$L,Transactions!$B:$B,$B$4,Transactions!$E:$E,F18)</x:f>
        <x:v>2433</x:v>
      </x:c>
      <x:c r="H18" s="228" t="n">
        <x:f>IFERROR(G18/$D$7,0)</x:f>
        <x:v>0.1494563548129492</x:v>
      </x:c>
      <x:c r="J18" t="str">
        <x:v>1–30 Days</x:v>
      </x:c>
      <x:c r="K18" s="226" t="n">
        <x:f>SUMIFS('A_R Tracker'!$G:$G,'A_R Tracker'!$I:$I,"&gt;30",'A_R Tracker'!$I:$I,"&lt;=60")</x:f>
        <x:v>10500</x:v>
      </x:c>
      <x:c r="L18" s="228" t="n">
        <x:f>IFERROR(K18/$J$7,0)</x:f>
        <x:v>0.5691056910569106</x:v>
      </x:c>
    </x:row>
    <x:row r="19">
      <x:c r="A19" s="224" t="n">
        <x:v>46082</x:v>
      </x:c>
      <x:c r="B19" s="226" t="n">
        <x:f>SUMIFS(Transactions!$K:$K,Transactions!$B:$B,A19)</x:f>
        <x:v>35384</x:v>
      </x:c>
      <x:c r="C19" s="226" t="n">
        <x:f>SUMIFS(Transactions!$L:$L,Transactions!$B:$B,A19)</x:f>
        <x:v>17432</x:v>
      </x:c>
      <x:c r="D19" s="226" t="n">
        <x:f>B19-C19</x:f>
        <x:v>17952</x:v>
      </x:c>
      <x:c r="F19" t="str">
        <x:v>Payroll</x:v>
      </x:c>
      <x:c r="G19" s="226" t="n">
        <x:f>SUMIFS(Transactions!$L:$L,Transactions!$B:$B,$B$4,Transactions!$E:$E,F19)</x:f>
        <x:v>2720</x:v>
      </x:c>
      <x:c r="H19" s="228" t="n">
        <x:f>IFERROR(G19/$D$7,0)</x:f>
        <x:v>0.16708643037041587</x:v>
      </x:c>
      <x:c r="J19" t="str">
        <x:v>31–60 Days</x:v>
      </x:c>
      <x:c r="K19" s="226" t="n">
        <x:f>SUMIFS('A_R Tracker'!$G:$G,'A_R Tracker'!$I:$I,"&gt;60",'A_R Tracker'!$I:$I,"&lt;=90")</x:f>
        <x:v>0</x:v>
      </x:c>
      <x:c r="L19" s="228" t="n">
        <x:f>IFERROR(K19/$J$7,0)</x:f>
        <x:v>0</x:v>
      </x:c>
    </x:row>
    <x:row r="20">
      <x:c r="A20" s="224" t="n">
        <x:v>46113</x:v>
      </x:c>
      <x:c r="B20" s="226" t="n">
        <x:f>SUMIFS(Transactions!$K:$K,Transactions!$B:$B,A20)</x:f>
        <x:v>44204</x:v>
      </x:c>
      <x:c r="C20" s="226" t="n">
        <x:f>SUMIFS(Transactions!$L:$L,Transactions!$B:$B,A20)</x:f>
        <x:v>10178</x:v>
      </x:c>
      <x:c r="D20" s="226" t="n">
        <x:f>B20-C20</x:f>
        <x:v>34026</x:v>
      </x:c>
      <x:c r="F20" t="str">
        <x:v>Fuel &amp; Vehicle</x:v>
      </x:c>
      <x:c r="G20" s="226" t="n">
        <x:f>SUMIFS(Transactions!$L:$L,Transactions!$B:$B,$B$4,Transactions!$E:$E,F20)</x:f>
        <x:v>2238</x:v>
      </x:c>
      <x:c r="H20" s="228" t="n">
        <x:f>IFERROR(G20/$D$7,0)</x:f>
        <x:v>0.13747773204742306</x:v>
      </x:c>
      <x:c r="J20" t="str">
        <x:v>61+ Days</x:v>
      </x:c>
      <x:c r="K20" s="226" t="n">
        <x:f>SUMIFS('A_R Tracker'!$G:$G,'A_R Tracker'!$I:$I,"&gt;90")</x:f>
        <x:v>0</x:v>
      </x:c>
      <x:c r="L20" s="228" t="n">
        <x:f>IFERROR(K20/$J$7,0)</x:f>
        <x:v>0</x:v>
      </x:c>
    </x:row>
    <x:row r="21">
      <x:c r="A21" s="224" t="n">
        <x:v>46143</x:v>
      </x:c>
      <x:c r="B21" s="226" t="n">
        <x:f>SUMIFS(Transactions!$K:$K,Transactions!$B:$B,A21)</x:f>
        <x:v>46922</x:v>
      </x:c>
      <x:c r="C21" s="226" t="n">
        <x:f>SUMIFS(Transactions!$L:$L,Transactions!$B:$B,A21)</x:f>
        <x:v>9705</x:v>
      </x:c>
      <x:c r="D21" s="226" t="n">
        <x:f>B21-C21</x:f>
        <x:v>37217</x:v>
      </x:c>
      <x:c r="F21" t="str">
        <x:v>Rent</x:v>
      </x:c>
      <x:c r="G21" s="226" t="n">
        <x:f>SUMIFS(Transactions!$L:$L,Transactions!$B:$B,$B$4,Transactions!$E:$E,F21)</x:f>
        <x:v>0</x:v>
      </x:c>
      <x:c r="H21" s="228" t="n">
        <x:f>IFERROR(G21/$D$7,0)</x:f>
        <x:v>0</x:v>
      </x:c>
    </x:row>
    <x:row r="22">
      <x:c r="A22" s="224" t="n">
        <x:v>46174</x:v>
      </x:c>
      <x:c r="B22" s="226" t="n">
        <x:f>SUMIFS(Transactions!$K:$K,Transactions!$B:$B,A22)</x:f>
        <x:v>35211</x:v>
      </x:c>
      <x:c r="C22" s="226" t="n">
        <x:f>SUMIFS(Transactions!$L:$L,Transactions!$B:$B,A22)</x:f>
        <x:v>16279</x:v>
      </x:c>
      <x:c r="D22" s="226" t="n">
        <x:f>B22-C22</x:f>
        <x:v>18932</x:v>
      </x:c>
      <x:c r="F22" t="str">
        <x:v>Insurance</x:v>
      </x:c>
      <x:c r="G22" s="226" t="n">
        <x:f>SUMIFS(Transactions!$L:$L,Transactions!$B:$B,$B$4,Transactions!$E:$E,F22)</x:f>
        <x:v>299</x:v>
      </x:c>
      <x:c r="H22" s="228" t="n">
        <x:f>IFERROR(G22/$D$7,0)</x:f>
        <x:v>0.018367221573806745</x:v>
      </x:c>
    </x:row>
    <x:row r="23">
      <x:c r="A23" s="224" t="n">
        <x:v>46204</x:v>
      </x:c>
      <x:c r="B23" s="226" t="n">
        <x:f>SUMIFS(Transactions!$K:$K,Transactions!$B:$B,A23)</x:f>
        <x:v>0</x:v>
      </x:c>
      <x:c r="C23" s="226" t="n">
        <x:f>SUMIFS(Transactions!$L:$L,Transactions!$B:$B,A23)</x:f>
        <x:v>0</x:v>
      </x:c>
      <x:c r="D23" s="226" t="n">
        <x:f>B23-C23</x:f>
        <x:v>0</x:v>
      </x:c>
      <x:c r="F23" t="str">
        <x:v>Software</x:v>
      </x:c>
      <x:c r="G23" s="226" t="n">
        <x:f>SUMIFS(Transactions!$L:$L,Transactions!$B:$B,$B$4,Transactions!$E:$E,F23)</x:f>
        <x:v>255</x:v>
      </x:c>
      <x:c r="H23" s="228" t="n">
        <x:f>IFERROR(G23/$D$7,0)</x:f>
        <x:v>0.01566435284722649</x:v>
      </x:c>
    </x:row>
    <x:row r="24">
      <x:c r="A24" s="224" t="n">
        <x:v>46235</x:v>
      </x:c>
      <x:c r="B24" s="226" t="n">
        <x:f>SUMIFS(Transactions!$K:$K,Transactions!$B:$B,A24)</x:f>
        <x:v>0</x:v>
      </x:c>
      <x:c r="C24" s="226" t="n">
        <x:f>SUMIFS(Transactions!$L:$L,Transactions!$B:$B,A24)</x:f>
        <x:v>0</x:v>
      </x:c>
      <x:c r="D24" s="226" t="n">
        <x:f>B24-C24</x:f>
        <x:v>0</x:v>
      </x:c>
      <x:c r="F24" t="str">
        <x:v>Marketing</x:v>
      </x:c>
      <x:c r="G24" s="226" t="n">
        <x:f>SUMIFS(Transactions!$L:$L,Transactions!$B:$B,$B$4,Transactions!$E:$E,F24)</x:f>
        <x:v>0</x:v>
      </x:c>
      <x:c r="H24" s="228" t="n">
        <x:f>IFERROR(G24/$D$7,0)</x:f>
        <x:v>0</x:v>
      </x:c>
    </x:row>
    <x:row r="25">
      <x:c r="A25" s="224" t="n">
        <x:v>46266</x:v>
      </x:c>
      <x:c r="B25" s="226" t="n">
        <x:f>SUMIFS(Transactions!$K:$K,Transactions!$B:$B,A25)</x:f>
        <x:v>0</x:v>
      </x:c>
      <x:c r="C25" s="226" t="n">
        <x:f>SUMIFS(Transactions!$L:$L,Transactions!$B:$B,A25)</x:f>
        <x:v>0</x:v>
      </x:c>
      <x:c r="D25" s="226" t="n">
        <x:f>B25-C25</x:f>
        <x:v>0</x:v>
      </x:c>
      <x:c r="F25" t="str">
        <x:v>Meals</x:v>
      </x:c>
      <x:c r="G25" s="226" t="n">
        <x:f>SUMIFS(Transactions!$L:$L,Transactions!$B:$B,$B$4,Transactions!$E:$E,F25)</x:f>
        <x:v>3324</x:v>
      </x:c>
      <x:c r="H25" s="228" t="n">
        <x:f>IFERROR(G25/$D$7,0)</x:f>
        <x:v>0.2041894465261994</x:v>
      </x:c>
    </x:row>
    <x:row r="26">
      <x:c r="A26" s="224" t="n">
        <x:v>46296</x:v>
      </x:c>
      <x:c r="B26" s="226" t="n">
        <x:f>SUMIFS(Transactions!$K:$K,Transactions!$B:$B,A26)</x:f>
        <x:v>0</x:v>
      </x:c>
      <x:c r="C26" s="226" t="n">
        <x:f>SUMIFS(Transactions!$L:$L,Transactions!$B:$B,A26)</x:f>
        <x:v>0</x:v>
      </x:c>
      <x:c r="D26" s="226" t="n">
        <x:f>B26-C26</x:f>
        <x:v>0</x:v>
      </x:c>
      <x:c r="F26" t="str">
        <x:v>Professional Fees</x:v>
      </x:c>
      <x:c r="G26" s="226" t="n">
        <x:f>SUMIFS(Transactions!$L:$L,Transactions!$B:$B,$B$4,Transactions!$E:$E,F26)</x:f>
        <x:v>2200</x:v>
      </x:c>
      <x:c r="H26" s="228" t="n">
        <x:f>IFERROR(G26/$D$7,0)</x:f>
        <x:v>0.13514343632901285</x:v>
      </x:c>
    </x:row>
    <x:row r="27">
      <x:c r="A27" s="224" t="n">
        <x:v>46327</x:v>
      </x:c>
      <x:c r="B27" s="226" t="n">
        <x:f>SUMIFS(Transactions!$K:$K,Transactions!$B:$B,A27)</x:f>
        <x:v>0</x:v>
      </x:c>
      <x:c r="C27" s="226" t="n">
        <x:f>SUMIFS(Transactions!$L:$L,Transactions!$B:$B,A27)</x:f>
        <x:v>0</x:v>
      </x:c>
      <x:c r="D27" s="226" t="n">
        <x:f>B27-C27</x:f>
        <x:v>0</x:v>
      </x:c>
      <x:c r="F27" t="str">
        <x:v>Taxes &amp; Licenses</x:v>
      </x:c>
      <x:c r="G27" s="226" t="n">
        <x:f>SUMIFS(Transactions!$L:$L,Transactions!$B:$B,$B$4,Transactions!$E:$E,F27)</x:f>
        <x:v>2810</x:v>
      </x:c>
      <x:c r="H27" s="228" t="n">
        <x:f>IFERROR(G27/$D$7,0)</x:f>
        <x:v>0.1726150254929664</x:v>
      </x:c>
    </x:row>
    <x:row r="28">
      <x:c r="A28" s="224" t="n">
        <x:v>46357</x:v>
      </x:c>
      <x:c r="B28" s="226" t="n">
        <x:f>SUMIFS(Transactions!$K:$K,Transactions!$B:$B,A28)</x:f>
        <x:v>0</x:v>
      </x:c>
      <x:c r="C28" s="226" t="n">
        <x:f>SUMIFS(Transactions!$L:$L,Transactions!$B:$B,A28)</x:f>
        <x:v>0</x:v>
      </x:c>
      <x:c r="D28" s="226" t="n">
        <x:f>B28-C28</x:f>
        <x:v>0</x:v>
      </x:c>
      <x:c r="F28" t="str">
        <x:v>Utilities</x:v>
      </x:c>
      <x:c r="G28" s="226" t="n">
        <x:f>SUMIFS(Transactions!$L:$L,Transactions!$B:$B,$B$4,Transactions!$E:$E,F28)</x:f>
        <x:v>0</x:v>
      </x:c>
      <x:c r="H28" s="228" t="n">
        <x:f>IFERROR(G28/$D$7,0)</x:f>
        <x:v>0</x:v>
      </x:c>
    </x:row>
    <x:row r="29">
      <x:c r="F29" t="str">
        <x:v>Equipment</x:v>
      </x:c>
      <x:c r="G29" s="226" t="n">
        <x:f>SUMIFS(Transactions!$L:$L,Transactions!$B:$B,$B$4,Transactions!$E:$E,F29)</x:f>
        <x:v>0</x:v>
      </x:c>
      <x:c r="H29" s="228" t="n">
        <x:f>IFERROR(G29/$D$7,0)</x:f>
        <x:v>0</x:v>
      </x:c>
    </x:row>
    <x:row r="30">
      <x:c r="F30" t="str">
        <x:v>Other Expense</x:v>
      </x:c>
      <x:c r="G30" s="226" t="n">
        <x:f>SUMIFS(Transactions!$L:$L,Transactions!$B:$B,$B$4,Transactions!$E:$E,F30)</x:f>
        <x:v>0</x:v>
      </x:c>
      <x:c r="H30" s="228" t="n">
        <x:f>IFERROR(G30/$D$7,0)</x:f>
        <x:v>0</x:v>
      </x:c>
    </x:row>
  </x:sheetData>
  <x:mergeCells>
    <x:mergeCell ref="A1:L1"/>
    <x:mergeCell ref="A2:L2"/>
    <x:mergeCell ref="A6:C6"/>
    <x:mergeCell ref="A7:C9"/>
    <x:mergeCell ref="D6:F6"/>
    <x:mergeCell ref="D7:F9"/>
    <x:mergeCell ref="G6:I6"/>
    <x:mergeCell ref="G7:I9"/>
    <x:mergeCell ref="J6:L6"/>
    <x:mergeCell ref="J7:L9"/>
    <x:mergeCell ref="A11:B11"/>
    <x:mergeCell ref="C11:D11"/>
    <x:mergeCell ref="E11:F11"/>
    <x:mergeCell ref="G11:H11"/>
    <x:mergeCell ref="I11:J11"/>
    <x:mergeCell ref="K11:L11"/>
    <x:mergeCell ref="A12:B13"/>
    <x:mergeCell ref="C12:D13"/>
    <x:mergeCell ref="E12:F13"/>
    <x:mergeCell ref="G12:H13"/>
    <x:mergeCell ref="I12:J13"/>
    <x:mergeCell ref="K12:L13"/>
  </x:mergeCells>
  <x:conditionalFormatting sqref="B17:D28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G17:G30">
    <x:cfRule type="dataBar" priority="2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K17:K20">
    <x:cfRule type="dataBar" priority="3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dataValidations count="1">
    <x:dataValidation type="list" sqref="B4">
      <x:formula1>Categories!$F$4:$F$15</x:formula1>
    </x:dataValidation>
  </x:dataValidations>
  <x:pageMargins left="0.7" right="0.7" top="0.75" bottom="0.75" header="0.3" footer="0.3"/>
  <x:drawing xmlns:r="http://schemas.openxmlformats.org/officeDocument/2006/relationships" r:id="R4514914ec84b414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B5"/>
            </x14:dataBar>
          </x14:cfRule>
          <xm:sqref>B17:D28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D6A84B"/>
            </x14:dataBar>
          </x14:cfRule>
          <xm:sqref>G17:G30</xm:sqref>
        </x14:conditionalFormatting>
        <x14:conditionalFormatting>
          <x14:cfRule type="dataBar" priority="3" id="{C5593AA7-0028-5BEA-E3E0-8178783C1A47}">
            <x14:dataBar gradient="1">
              <x14:cfvo type="min"/>
              <x14:cfvo type="max"/>
              <x14:fillColor rgb="FFC00000"/>
            </x14:dataBar>
          </x14:cfRule>
          <xm:sqref>K17:K20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2" hidden="0" customWidth="1"/>
    <x:col min="5" max="5" width="20" hidden="0" customWidth="1"/>
    <x:col min="6" max="6" width="25" hidden="0" customWidth="1"/>
    <x:col min="7" max="7" width="24" hidden="0" customWidth="1"/>
    <x:col min="8" max="8" width="14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28" hidden="0" customWidth="1"/>
  </x:cols>
  <x:sheetData>
    <x:row r="1" ht="32" customHeight="1">
      <x:c r="A1" s="5" t="str">
        <x:v>Transactions — Paste or Enter Client Activity Here</x:v>
      </x:c>
    </x:row>
    <x:row r="2">
      <x:c r="A2" s="20" t="str">
        <x:v>Date</x:v>
      </x:c>
      <x:c r="B2" s="21" t="str">
        <x:v>Month</x:v>
      </x:c>
      <x:c r="C2" s="21" t="str">
        <x:v>Transaction ID</x:v>
      </x:c>
      <x:c r="D2" s="21" t="str">
        <x:v>Type</x:v>
      </x:c>
      <x:c r="E2" s="21" t="str">
        <x:v>Category</x:v>
      </x:c>
      <x:c r="F2" s="21" t="str">
        <x:v>Customer / Project</x:v>
      </x:c>
      <x:c r="G2" s="21" t="str">
        <x:v>Description</x:v>
      </x:c>
      <x:c r="H2" s="21" t="str">
        <x:v>Amount ($)</x:v>
      </x:c>
      <x:c r="I2" s="21" t="str">
        <x:v>Payment Status</x:v>
      </x:c>
      <x:c r="J2" s="21" t="str">
        <x:v>Invoice / Ref #</x:v>
      </x:c>
      <x:c r="K2" s="21" t="str">
        <x:v>Revenue ($)</x:v>
      </x:c>
      <x:c r="L2" s="21" t="str">
        <x:v>Expense ($)</x:v>
      </x:c>
      <x:c r="M2" s="21" t="str">
        <x:v>Net Cash Flow ($)</x:v>
      </x:c>
      <x:c r="N2" s="21" t="str">
        <x:v>Needs Review?</x:v>
      </x:c>
      <x:c r="O2" s="21" t="str">
        <x:v>Notes</x:v>
      </x:c>
    </x:row>
    <x:row r="3">
      <x:c r="A3" s="58" t="n">
        <x:v>46024</x:v>
      </x:c>
      <x:c r="B3" s="52" t="n">
        <x:f>DATE(YEAR(A3),MONTH(A3),1)</x:f>
        <x:v>46023</x:v>
      </x:c>
      <x:c r="C3" s="46" t="str">
        <x:v>TX-1024</x:v>
      </x:c>
      <x:c r="D3" s="46" t="str">
        <x:v>Expense</x:v>
      </x:c>
      <x:c r="E3" s="46" t="str">
        <x:v>Subcontractors</x:v>
      </x:c>
      <x:c r="F3" s="46" t="str"/>
      <x:c r="G3" s="72" t="str">
        <x:v>Monthly bill</x:v>
      </x:c>
      <x:c r="H3" s="54" t="n">
        <x:v>248</x:v>
      </x:c>
      <x:c r="I3" s="46" t="str">
        <x:v>Paid</x:v>
      </x:c>
      <x:c r="J3" s="46" t="str">
        <x:v>REF-1024</x:v>
      </x:c>
      <x:c r="K3" s="56" t="n">
        <x:f>IF(D3="Revenue",H3,0)</x:f>
        <x:v>0</x:v>
      </x:c>
      <x:c r="L3" s="56" t="n">
        <x:f>IF(D3="Expense",H3,0)</x:f>
        <x:v>248</x:v>
      </x:c>
      <x:c r="M3" s="56" t="n">
        <x:f>K3-L3</x:f>
        <x:v>-248</x:v>
      </x:c>
      <x:c r="N3" s="48" t="str">
        <x:f>IF(OR(D3="",E3="",H3&lt;=0),"Yes",IF(AND(D3="Revenue",I3=""),"Yes","No"))</x:f>
        <x:v>No</x:v>
      </x:c>
      <x:c r="O3" s="72" t="str"/>
    </x:row>
    <x:row r="4">
      <x:c r="A4" s="58" t="n">
        <x:v>46025</x:v>
      </x:c>
      <x:c r="B4" s="52" t="n">
        <x:f>DATE(YEAR(A4),MONTH(A4),1)</x:f>
        <x:v>46023</x:v>
      </x:c>
      <x:c r="C4" s="46" t="str">
        <x:v>TX-1023</x:v>
      </x:c>
      <x:c r="D4" s="46" t="str">
        <x:v>Expense</x:v>
      </x:c>
      <x:c r="E4" s="46" t="str">
        <x:v>Professional Fees</x:v>
      </x:c>
      <x:c r="F4" s="46" t="str"/>
      <x:c r="G4" s="72" t="str">
        <x:v>Vendor payment</x:v>
      </x:c>
      <x:c r="H4" s="54" t="n">
        <x:v>188</x:v>
      </x:c>
      <x:c r="I4" s="46" t="str">
        <x:v>Paid</x:v>
      </x:c>
      <x:c r="J4" s="46" t="str">
        <x:v>REF-1023</x:v>
      </x:c>
      <x:c r="K4" s="56" t="n">
        <x:f>IF(D4="Revenue",H4,0)</x:f>
        <x:v>0</x:v>
      </x:c>
      <x:c r="L4" s="56" t="n">
        <x:f>IF(D4="Expense",H4,0)</x:f>
        <x:v>188</x:v>
      </x:c>
      <x:c r="M4" s="56" t="n">
        <x:f>K4-L4</x:f>
        <x:v>-188</x:v>
      </x:c>
      <x:c r="N4" s="48" t="str">
        <x:f>IF(OR(D4="",E4="",H4&lt;=0),"Yes",IF(AND(D4="Revenue",I4=""),"Yes","No"))</x:f>
        <x:v>No</x:v>
      </x:c>
      <x:c r="O4" s="72" t="str"/>
    </x:row>
    <x:row r="5">
      <x:c r="A5" s="58" t="n">
        <x:v>46026</x:v>
      </x:c>
      <x:c r="B5" s="52" t="n">
        <x:f>DATE(YEAR(A5),MONTH(A5),1)</x:f>
        <x:v>46023</x:v>
      </x:c>
      <x:c r="C5" s="46" t="str">
        <x:v>TX-1019</x:v>
      </x:c>
      <x:c r="D5" s="46" t="str">
        <x:v>Expense</x:v>
      </x:c>
      <x:c r="E5" s="46" t="str">
        <x:v>Payroll</x:v>
      </x:c>
      <x:c r="F5" s="46" t="str"/>
      <x:c r="G5" s="72" t="str">
        <x:v>Operating expense</x:v>
      </x:c>
      <x:c r="H5" s="54" t="n">
        <x:v>111</x:v>
      </x:c>
      <x:c r="I5" s="46" t="str">
        <x:v>Paid</x:v>
      </x:c>
      <x:c r="J5" s="46" t="str">
        <x:v>REF-1019</x:v>
      </x:c>
      <x:c r="K5" s="56" t="n">
        <x:f>IF(D5="Revenue",H5,0)</x:f>
        <x:v>0</x:v>
      </x:c>
      <x:c r="L5" s="56" t="n">
        <x:f>IF(D5="Expense",H5,0)</x:f>
        <x:v>111</x:v>
      </x:c>
      <x:c r="M5" s="56" t="n">
        <x:f>K5-L5</x:f>
        <x:v>-111</x:v>
      </x:c>
      <x:c r="N5" s="48" t="str">
        <x:f>IF(OR(D5="",E5="",H5&lt;=0),"Yes",IF(AND(D5="Revenue",I5=""),"Yes","No"))</x:f>
        <x:v>No</x:v>
      </x:c>
      <x:c r="O5" s="72" t="str"/>
    </x:row>
    <x:row r="6">
      <x:c r="A6" s="58" t="n">
        <x:v>46027</x:v>
      </x:c>
      <x:c r="B6" s="52" t="n">
        <x:f>DATE(YEAR(A6),MONTH(A6),1)</x:f>
        <x:v>46023</x:v>
      </x:c>
      <x:c r="C6" s="46" t="str">
        <x:v>TX-1002</x:v>
      </x:c>
      <x:c r="D6" s="46" t="str">
        <x:v>Revenue</x:v>
      </x:c>
      <x:c r="E6" s="46" t="str">
        <x:v>Sales Revenue</x:v>
      </x:c>
      <x:c r="F6" s="46" t="str">
        <x:v>Boulder Build Co.</x:v>
      </x:c>
      <x:c r="G6" s="72" t="str">
        <x:v>Monthly service</x:v>
      </x:c>
      <x:c r="H6" s="54" t="n">
        <x:v>8818</x:v>
      </x:c>
      <x:c r="I6" s="46" t="str">
        <x:v>Paid</x:v>
      </x:c>
      <x:c r="J6" s="46" t="str">
        <x:v>INV-11002</x:v>
      </x:c>
      <x:c r="K6" s="56" t="n">
        <x:f>IF(D6="Revenue",H6,0)</x:f>
        <x:v>8818</x:v>
      </x:c>
      <x:c r="L6" s="56" t="n">
        <x:f>IF(D6="Expense",H6,0)</x:f>
        <x:v>0</x:v>
      </x:c>
      <x:c r="M6" s="56" t="n">
        <x:f>K6-L6</x:f>
        <x:v>8818</x:v>
      </x:c>
      <x:c r="N6" s="48" t="str">
        <x:f>IF(OR(D6="",E6="",H6&lt;=0),"Yes",IF(AND(D6="Revenue",I6=""),"Yes","No"))</x:f>
        <x:v>No</x:v>
      </x:c>
      <x:c r="O6" s="72" t="str"/>
    </x:row>
    <x:row r="7">
      <x:c r="A7" s="58" t="n">
        <x:v>46030</x:v>
      </x:c>
      <x:c r="B7" s="52" t="n">
        <x:f>DATE(YEAR(A7),MONTH(A7),1)</x:f>
        <x:v>46023</x:v>
      </x:c>
      <x:c r="C7" s="46" t="str">
        <x:v>TX-1017</x:v>
      </x:c>
      <x:c r="D7" s="46" t="str">
        <x:v>Expense</x:v>
      </x:c>
      <x:c r="E7" s="46" t="str">
        <x:v>Rent</x:v>
      </x:c>
      <x:c r="F7" s="46" t="str"/>
      <x:c r="G7" s="72" t="str">
        <x:v>Monthly bill</x:v>
      </x:c>
      <x:c r="H7" s="54" t="n">
        <x:v>168</x:v>
      </x:c>
      <x:c r="I7" s="46" t="str">
        <x:v>Paid</x:v>
      </x:c>
      <x:c r="J7" s="46" t="str">
        <x:v>REF-1017</x:v>
      </x:c>
      <x:c r="K7" s="56" t="n">
        <x:f>IF(D7="Revenue",H7,0)</x:f>
        <x:v>0</x:v>
      </x:c>
      <x:c r="L7" s="56" t="n">
        <x:f>IF(D7="Expense",H7,0)</x:f>
        <x:v>168</x:v>
      </x:c>
      <x:c r="M7" s="56" t="n">
        <x:f>K7-L7</x:f>
        <x:v>-168</x:v>
      </x:c>
      <x:c r="N7" s="48" t="str">
        <x:f>IF(OR(D7="",E7="",H7&lt;=0),"Yes",IF(AND(D7="Revenue",I7=""),"Yes","No"))</x:f>
        <x:v>No</x:v>
      </x:c>
      <x:c r="O7" s="72" t="str"/>
    </x:row>
    <x:row r="8">
      <x:c r="A8" s="58" t="n">
        <x:v>46032</x:v>
      </x:c>
      <x:c r="B8" s="52" t="n">
        <x:f>DATE(YEAR(A8),MONTH(A8),1)</x:f>
        <x:v>46023</x:v>
      </x:c>
      <x:c r="C8" s="46" t="str">
        <x:v>TX-1014</x:v>
      </x:c>
      <x:c r="D8" s="46" t="str">
        <x:v>Expense</x:v>
      </x:c>
      <x:c r="E8" s="46" t="str">
        <x:v>Payroll</x:v>
      </x:c>
      <x:c r="F8" s="46" t="str"/>
      <x:c r="G8" s="72" t="str">
        <x:v>Monthly bill</x:v>
      </x:c>
      <x:c r="H8" s="54" t="n">
        <x:v>1060</x:v>
      </x:c>
      <x:c r="I8" s="46" t="str">
        <x:v>Paid</x:v>
      </x:c>
      <x:c r="J8" s="46" t="str">
        <x:v>REF-1014</x:v>
      </x:c>
      <x:c r="K8" s="56" t="n">
        <x:f>IF(D8="Revenue",H8,0)</x:f>
        <x:v>0</x:v>
      </x:c>
      <x:c r="L8" s="56" t="n">
        <x:f>IF(D8="Expense",H8,0)</x:f>
        <x:v>1060</x:v>
      </x:c>
      <x:c r="M8" s="56" t="n">
        <x:f>K8-L8</x:f>
        <x:v>-1060</x:v>
      </x:c>
      <x:c r="N8" s="48" t="str">
        <x:f>IF(OR(D8="",E8="",H8&lt;=0),"Yes",IF(AND(D8="Revenue",I8=""),"Yes","No"))</x:f>
        <x:v>No</x:v>
      </x:c>
      <x:c r="O8" s="72" t="str"/>
    </x:row>
    <x:row r="9">
      <x:c r="A9" s="58" t="n">
        <x:v>46032</x:v>
      </x:c>
      <x:c r="B9" s="52" t="n">
        <x:f>DATE(YEAR(A9),MONTH(A9),1)</x:f>
        <x:v>46023</x:v>
      </x:c>
      <x:c r="C9" s="46" t="str">
        <x:v>TX-1020</x:v>
      </x:c>
      <x:c r="D9" s="46" t="str">
        <x:v>Expense</x:v>
      </x:c>
      <x:c r="E9" s="46" t="str">
        <x:v>Subcontractors</x:v>
      </x:c>
      <x:c r="F9" s="46" t="str"/>
      <x:c r="G9" s="72" t="str">
        <x:v>Monthly bill</x:v>
      </x:c>
      <x:c r="H9" s="54" t="n">
        <x:v>157</x:v>
      </x:c>
      <x:c r="I9" s="46" t="str">
        <x:v>Paid</x:v>
      </x:c>
      <x:c r="J9" s="46" t="str">
        <x:v>REF-1020</x:v>
      </x:c>
      <x:c r="K9" s="56" t="n">
        <x:f>IF(D9="Revenue",H9,0)</x:f>
        <x:v>0</x:v>
      </x:c>
      <x:c r="L9" s="56" t="n">
        <x:f>IF(D9="Expense",H9,0)</x:f>
        <x:v>157</x:v>
      </x:c>
      <x:c r="M9" s="56" t="n">
        <x:f>K9-L9</x:f>
        <x:v>-157</x:v>
      </x:c>
      <x:c r="N9" s="48" t="str">
        <x:f>IF(OR(D9="",E9="",H9&lt;=0),"Yes",IF(AND(D9="Revenue",I9=""),"Yes","No"))</x:f>
        <x:v>No</x:v>
      </x:c>
      <x:c r="O9" s="72" t="str"/>
    </x:row>
    <x:row r="10">
      <x:c r="A10" s="58" t="n">
        <x:v>46033</x:v>
      </x:c>
      <x:c r="B10" s="52" t="n">
        <x:f>DATE(YEAR(A10),MONTH(A10),1)</x:f>
        <x:v>46023</x:v>
      </x:c>
      <x:c r="C10" s="46" t="str">
        <x:v>TX-1008</x:v>
      </x:c>
      <x:c r="D10" s="46" t="str">
        <x:v>Revenue</x:v>
      </x:c>
      <x:c r="E10" s="46" t="str">
        <x:v>Sales Revenue</x:v>
      </x:c>
      <x:c r="F10" s="46" t="str">
        <x:v>Boulder Build Co.</x:v>
      </x:c>
      <x:c r="G10" s="72" t="str">
        <x:v>Project milestone</x:v>
      </x:c>
      <x:c r="H10" s="54" t="n">
        <x:v>6088</x:v>
      </x:c>
      <x:c r="I10" s="46" t="str">
        <x:v>Paid</x:v>
      </x:c>
      <x:c r="J10" s="46" t="str">
        <x:v>INV-11008</x:v>
      </x:c>
      <x:c r="K10" s="56" t="n">
        <x:f>IF(D10="Revenue",H10,0)</x:f>
        <x:v>6088</x:v>
      </x:c>
      <x:c r="L10" s="56" t="n">
        <x:f>IF(D10="Expense",H10,0)</x:f>
        <x:v>0</x:v>
      </x:c>
      <x:c r="M10" s="56" t="n">
        <x:f>K10-L10</x:f>
        <x:v>6088</x:v>
      </x:c>
      <x:c r="N10" s="48" t="str">
        <x:f>IF(OR(D10="",E10="",H10&lt;=0),"Yes",IF(AND(D10="Revenue",I10=""),"Yes","No"))</x:f>
        <x:v>No</x:v>
      </x:c>
      <x:c r="O10" s="72" t="str"/>
    </x:row>
    <x:row r="11">
      <x:c r="A11" s="58" t="n">
        <x:v>46034</x:v>
      </x:c>
      <x:c r="B11" s="52" t="n">
        <x:f>DATE(YEAR(A11),MONTH(A11),1)</x:f>
        <x:v>46023</x:v>
      </x:c>
      <x:c r="C11" s="46" t="str">
        <x:v>TX-1001</x:v>
      </x:c>
      <x:c r="D11" s="46" t="str">
        <x:v>Revenue</x:v>
      </x:c>
      <x:c r="E11" s="46" t="str">
        <x:v>Sales Revenue</x:v>
      </x:c>
      <x:c r="F11" s="46" t="str">
        <x:v>Green Valley Homes</x:v>
      </x:c>
      <x:c r="G11" s="72" t="str">
        <x:v>Monthly service</x:v>
      </x:c>
      <x:c r="H11" s="54" t="n">
        <x:v>1797</x:v>
      </x:c>
      <x:c r="I11" s="46" t="str">
        <x:v>Paid</x:v>
      </x:c>
      <x:c r="J11" s="46" t="str">
        <x:v>INV-11001</x:v>
      </x:c>
      <x:c r="K11" s="56" t="n">
        <x:f>IF(D11="Revenue",H11,0)</x:f>
        <x:v>1797</x:v>
      </x:c>
      <x:c r="L11" s="56" t="n">
        <x:f>IF(D11="Expense",H11,0)</x:f>
        <x:v>0</x:v>
      </x:c>
      <x:c r="M11" s="56" t="n">
        <x:f>K11-L11</x:f>
        <x:v>1797</x:v>
      </x:c>
      <x:c r="N11" s="48" t="str">
        <x:f>IF(OR(D11="",E11="",H11&lt;=0),"Yes",IF(AND(D11="Revenue",I11=""),"Yes","No"))</x:f>
        <x:v>No</x:v>
      </x:c>
      <x:c r="O11" s="72" t="str"/>
    </x:row>
    <x:row r="12">
      <x:c r="A12" s="58" t="n">
        <x:v>46034</x:v>
      </x:c>
      <x:c r="B12" s="52" t="n">
        <x:f>DATE(YEAR(A12),MONTH(A12),1)</x:f>
        <x:v>46023</x:v>
      </x:c>
      <x:c r="C12" s="46" t="str">
        <x:v>TX-1016</x:v>
      </x:c>
      <x:c r="D12" s="46" t="str">
        <x:v>Expense</x:v>
      </x:c>
      <x:c r="E12" s="46" t="str">
        <x:v>Fuel &amp; Vehicle</x:v>
      </x:c>
      <x:c r="F12" s="46" t="str"/>
      <x:c r="G12" s="72" t="str">
        <x:v>Monthly bill</x:v>
      </x:c>
      <x:c r="H12" s="54" t="n">
        <x:v>135</x:v>
      </x:c>
      <x:c r="I12" s="46" t="str">
        <x:v>Paid</x:v>
      </x:c>
      <x:c r="J12" s="46" t="str">
        <x:v>REF-1016</x:v>
      </x:c>
      <x:c r="K12" s="56" t="n">
        <x:f>IF(D12="Revenue",H12,0)</x:f>
        <x:v>0</x:v>
      </x:c>
      <x:c r="L12" s="56" t="n">
        <x:f>IF(D12="Expense",H12,0)</x:f>
        <x:v>135</x:v>
      </x:c>
      <x:c r="M12" s="56" t="n">
        <x:f>K12-L12</x:f>
        <x:v>-135</x:v>
      </x:c>
      <x:c r="N12" s="48" t="str">
        <x:f>IF(OR(D12="",E12="",H12&lt;=0),"Yes",IF(AND(D12="Revenue",I12=""),"Yes","No"))</x:f>
        <x:v>No</x:v>
      </x:c>
      <x:c r="O12" s="72" t="str"/>
    </x:row>
    <x:row r="13">
      <x:c r="A13" s="58" t="n">
        <x:v>46035</x:v>
      </x:c>
      <x:c r="B13" s="52" t="n">
        <x:f>DATE(YEAR(A13),MONTH(A13),1)</x:f>
        <x:v>46023</x:v>
      </x:c>
      <x:c r="C13" s="46" t="str">
        <x:v>TX-1007</x:v>
      </x:c>
      <x:c r="D13" s="46" t="str">
        <x:v>Revenue</x:v>
      </x:c>
      <x:c r="E13" s="46" t="str">
        <x:v>Sales Revenue</x:v>
      </x:c>
      <x:c r="F13" s="46" t="str">
        <x:v>Peak Fitness</x:v>
      </x:c>
      <x:c r="G13" s="72" t="str">
        <x:v>Monthly service</x:v>
      </x:c>
      <x:c r="H13" s="54" t="n">
        <x:v>8686</x:v>
      </x:c>
      <x:c r="I13" s="46" t="str">
        <x:v>Paid</x:v>
      </x:c>
      <x:c r="J13" s="46" t="str">
        <x:v>INV-11007</x:v>
      </x:c>
      <x:c r="K13" s="56" t="n">
        <x:f>IF(D13="Revenue",H13,0)</x:f>
        <x:v>8686</x:v>
      </x:c>
      <x:c r="L13" s="56" t="n">
        <x:f>IF(D13="Expense",H13,0)</x:f>
        <x:v>0</x:v>
      </x:c>
      <x:c r="M13" s="56" t="n">
        <x:f>K13-L13</x:f>
        <x:v>8686</x:v>
      </x:c>
      <x:c r="N13" s="48" t="str">
        <x:f>IF(OR(D13="",E13="",H13&lt;=0),"Yes",IF(AND(D13="Revenue",I13=""),"Yes","No"))</x:f>
        <x:v>No</x:v>
      </x:c>
      <x:c r="O13" s="72" t="str"/>
    </x:row>
    <x:row r="14">
      <x:c r="A14" s="58" t="n">
        <x:v>46035</x:v>
      </x:c>
      <x:c r="B14" s="52" t="n">
        <x:f>DATE(YEAR(A14),MONTH(A14),1)</x:f>
        <x:v>46023</x:v>
      </x:c>
      <x:c r="C14" s="46" t="str">
        <x:v>TX-1018</x:v>
      </x:c>
      <x:c r="D14" s="46" t="str">
        <x:v>Expense</x:v>
      </x:c>
      <x:c r="E14" s="46" t="str">
        <x:v>Rent</x:v>
      </x:c>
      <x:c r="F14" s="46" t="str"/>
      <x:c r="G14" s="72" t="str">
        <x:v>Job-related purchase</x:v>
      </x:c>
      <x:c r="H14" s="54" t="n">
        <x:v>1419</x:v>
      </x:c>
      <x:c r="I14" s="46" t="str">
        <x:v>Paid</x:v>
      </x:c>
      <x:c r="J14" s="46" t="str">
        <x:v>REF-1018</x:v>
      </x:c>
      <x:c r="K14" s="56" t="n">
        <x:f>IF(D14="Revenue",H14,0)</x:f>
        <x:v>0</x:v>
      </x:c>
      <x:c r="L14" s="56" t="n">
        <x:f>IF(D14="Expense",H14,0)</x:f>
        <x:v>1419</x:v>
      </x:c>
      <x:c r="M14" s="56" t="n">
        <x:f>K14-L14</x:f>
        <x:v>-1419</x:v>
      </x:c>
      <x:c r="N14" s="48" t="str">
        <x:f>IF(OR(D14="",E14="",H14&lt;=0),"Yes",IF(AND(D14="Revenue",I14=""),"Yes","No"))</x:f>
        <x:v>No</x:v>
      </x:c>
      <x:c r="O14" s="72" t="str"/>
    </x:row>
    <x:row r="15">
      <x:c r="A15" s="58" t="n">
        <x:v>46036</x:v>
      </x:c>
      <x:c r="B15" s="52" t="n">
        <x:f>DATE(YEAR(A15),MONTH(A15),1)</x:f>
        <x:v>46023</x:v>
      </x:c>
      <x:c r="C15" s="46" t="str">
        <x:v>TX-1012</x:v>
      </x:c>
      <x:c r="D15" s="46" t="str">
        <x:v>Expense</x:v>
      </x:c>
      <x:c r="E15" s="46" t="str">
        <x:v>Payroll</x:v>
      </x:c>
      <x:c r="F15" s="46" t="str"/>
      <x:c r="G15" s="72" t="str">
        <x:v>Monthly bill</x:v>
      </x:c>
      <x:c r="H15" s="54" t="n">
        <x:v>224</x:v>
      </x:c>
      <x:c r="I15" s="46" t="str">
        <x:v>Paid</x:v>
      </x:c>
      <x:c r="J15" s="46" t="str">
        <x:v>REF-1012</x:v>
      </x:c>
      <x:c r="K15" s="56" t="n">
        <x:f>IF(D15="Revenue",H15,0)</x:f>
        <x:v>0</x:v>
      </x:c>
      <x:c r="L15" s="56" t="n">
        <x:f>IF(D15="Expense",H15,0)</x:f>
        <x:v>224</x:v>
      </x:c>
      <x:c r="M15" s="56" t="n">
        <x:f>K15-L15</x:f>
        <x:v>-224</x:v>
      </x:c>
      <x:c r="N15" s="48" t="str">
        <x:f>IF(OR(D15="",E15="",H15&lt;=0),"Yes",IF(AND(D15="Revenue",I15=""),"Yes","No"))</x:f>
        <x:v>No</x:v>
      </x:c>
      <x:c r="O15" s="72" t="str"/>
    </x:row>
    <x:row r="16">
      <x:c r="A16" s="58" t="n">
        <x:v>46036</x:v>
      </x:c>
      <x:c r="B16" s="52" t="n">
        <x:f>DATE(YEAR(A16),MONTH(A16),1)</x:f>
        <x:v>46023</x:v>
      </x:c>
      <x:c r="C16" s="46" t="str">
        <x:v>TX-1022</x:v>
      </x:c>
      <x:c r="D16" s="46" t="str">
        <x:v>Expense</x:v>
      </x:c>
      <x:c r="E16" s="46" t="str">
        <x:v>Professional Fees</x:v>
      </x:c>
      <x:c r="F16" s="46" t="str"/>
      <x:c r="G16" s="72" t="str">
        <x:v>Job-related purchase</x:v>
      </x:c>
      <x:c r="H16" s="54" t="n">
        <x:v>2279</x:v>
      </x:c>
      <x:c r="I16" s="46" t="str">
        <x:v>Paid</x:v>
      </x:c>
      <x:c r="J16" s="46" t="str">
        <x:v>REF-1022</x:v>
      </x:c>
      <x:c r="K16" s="56" t="n">
        <x:f>IF(D16="Revenue",H16,0)</x:f>
        <x:v>0</x:v>
      </x:c>
      <x:c r="L16" s="56" t="n">
        <x:f>IF(D16="Expense",H16,0)</x:f>
        <x:v>2279</x:v>
      </x:c>
      <x:c r="M16" s="56" t="n">
        <x:f>K16-L16</x:f>
        <x:v>-2279</x:v>
      </x:c>
      <x:c r="N16" s="48" t="str">
        <x:f>IF(OR(D16="",E16="",H16&lt;=0),"Yes",IF(AND(D16="Revenue",I16=""),"Yes","No"))</x:f>
        <x:v>No</x:v>
      </x:c>
      <x:c r="O16" s="72" t="str"/>
    </x:row>
    <x:row r="17">
      <x:c r="A17" s="58" t="n">
        <x:v>46037</x:v>
      </x:c>
      <x:c r="B17" s="52" t="n">
        <x:f>DATE(YEAR(A17),MONTH(A17),1)</x:f>
        <x:v>46023</x:v>
      </x:c>
      <x:c r="C17" s="46" t="str">
        <x:v>TX-1003</x:v>
      </x:c>
      <x:c r="D17" s="46" t="str">
        <x:v>Revenue</x:v>
      </x:c>
      <x:c r="E17" s="46" t="str">
        <x:v>Sales Revenue</x:v>
      </x:c>
      <x:c r="F17" s="46" t="str">
        <x:v>Green Valley Homes</x:v>
      </x:c>
      <x:c r="G17" s="72" t="str">
        <x:v>Project milestone</x:v>
      </x:c>
      <x:c r="H17" s="54" t="n">
        <x:v>3399</x:v>
      </x:c>
      <x:c r="I17" s="46" t="str">
        <x:v>Paid</x:v>
      </x:c>
      <x:c r="J17" s="46" t="str">
        <x:v>INV-11003</x:v>
      </x:c>
      <x:c r="K17" s="56" t="n">
        <x:f>IF(D17="Revenue",H17,0)</x:f>
        <x:v>3399</x:v>
      </x:c>
      <x:c r="L17" s="56" t="n">
        <x:f>IF(D17="Expense",H17,0)</x:f>
        <x:v>0</x:v>
      </x:c>
      <x:c r="M17" s="56" t="n">
        <x:f>K17-L17</x:f>
        <x:v>3399</x:v>
      </x:c>
      <x:c r="N17" s="48" t="str">
        <x:f>IF(OR(D17="",E17="",H17&lt;=0),"Yes",IF(AND(D17="Revenue",I17=""),"Yes","No"))</x:f>
        <x:v>No</x:v>
      </x:c>
      <x:c r="O17" s="72" t="str"/>
    </x:row>
    <x:row r="18">
      <x:c r="A18" s="58" t="n">
        <x:v>46039</x:v>
      </x:c>
      <x:c r="B18" s="52" t="n">
        <x:f>DATE(YEAR(A18),MONTH(A18),1)</x:f>
        <x:v>46023</x:v>
      </x:c>
      <x:c r="C18" s="46" t="str">
        <x:v>TX-1015</x:v>
      </x:c>
      <x:c r="D18" s="46" t="str">
        <x:v>Expense</x:v>
      </x:c>
      <x:c r="E18" s="46" t="str">
        <x:v>Taxes &amp; Licenses</x:v>
      </x:c>
      <x:c r="F18" s="46" t="str"/>
      <x:c r="G18" s="72" t="str">
        <x:v>Operating expense</x:v>
      </x:c>
      <x:c r="H18" s="54" t="n">
        <x:v>244</x:v>
      </x:c>
      <x:c r="I18" s="46" t="str">
        <x:v>Paid</x:v>
      </x:c>
      <x:c r="J18" s="46" t="str">
        <x:v>REF-1015</x:v>
      </x:c>
      <x:c r="K18" s="56" t="n">
        <x:f>IF(D18="Revenue",H18,0)</x:f>
        <x:v>0</x:v>
      </x:c>
      <x:c r="L18" s="56" t="n">
        <x:f>IF(D18="Expense",H18,0)</x:f>
        <x:v>244</x:v>
      </x:c>
      <x:c r="M18" s="56" t="n">
        <x:f>K18-L18</x:f>
        <x:v>-244</x:v>
      </x:c>
      <x:c r="N18" s="48" t="str">
        <x:f>IF(OR(D18="",E18="",H18&lt;=0),"Yes",IF(AND(D18="Revenue",I18=""),"Yes","No"))</x:f>
        <x:v>No</x:v>
      </x:c>
      <x:c r="O18" s="72" t="str"/>
    </x:row>
    <x:row r="19">
      <x:c r="A19" s="58" t="n">
        <x:v>46041</x:v>
      </x:c>
      <x:c r="B19" s="52" t="n">
        <x:f>DATE(YEAR(A19),MONTH(A19),1)</x:f>
        <x:v>46023</x:v>
      </x:c>
      <x:c r="C19" s="46" t="str">
        <x:v>TX-1009</x:v>
      </x:c>
      <x:c r="D19" s="46" t="str">
        <x:v>Revenue</x:v>
      </x:c>
      <x:c r="E19" s="46" t="str">
        <x:v>Sales Revenue</x:v>
      </x:c>
      <x:c r="F19" s="46" t="str">
        <x:v>Boulder Build Co.</x:v>
      </x:c>
      <x:c r="G19" s="72" t="str">
        <x:v>Monthly service</x:v>
      </x:c>
      <x:c r="H19" s="54" t="n">
        <x:v>4365</x:v>
      </x:c>
      <x:c r="I19" s="46" t="str">
        <x:v>Paid</x:v>
      </x:c>
      <x:c r="J19" s="46" t="str">
        <x:v>INV-11009</x:v>
      </x:c>
      <x:c r="K19" s="56" t="n">
        <x:f>IF(D19="Revenue",H19,0)</x:f>
        <x:v>4365</x:v>
      </x:c>
      <x:c r="L19" s="56" t="n">
        <x:f>IF(D19="Expense",H19,0)</x:f>
        <x:v>0</x:v>
      </x:c>
      <x:c r="M19" s="56" t="n">
        <x:f>K19-L19</x:f>
        <x:v>4365</x:v>
      </x:c>
      <x:c r="N19" s="48" t="str">
        <x:f>IF(OR(D19="",E19="",H19&lt;=0),"Yes",IF(AND(D19="Revenue",I19=""),"Yes","No"))</x:f>
        <x:v>No</x:v>
      </x:c>
      <x:c r="O19" s="72" t="str"/>
    </x:row>
    <x:row r="20">
      <x:c r="A20" s="58" t="n">
        <x:v>46045</x:v>
      </x:c>
      <x:c r="B20" s="52" t="n">
        <x:f>DATE(YEAR(A20),MONTH(A20),1)</x:f>
        <x:v>46023</x:v>
      </x:c>
      <x:c r="C20" s="46" t="str">
        <x:v>TX-1005</x:v>
      </x:c>
      <x:c r="D20" s="46" t="str">
        <x:v>Revenue</x:v>
      </x:c>
      <x:c r="E20" s="46" t="str">
        <x:v>Sales Revenue</x:v>
      </x:c>
      <x:c r="F20" s="46" t="str">
        <x:v>Flatirons Property Mgmt</x:v>
      </x:c>
      <x:c r="G20" s="72" t="str">
        <x:v>Deposit received</x:v>
      </x:c>
      <x:c r="H20" s="54" t="n">
        <x:v>4717</x:v>
      </x:c>
      <x:c r="I20" s="46" t="str">
        <x:v>Paid</x:v>
      </x:c>
      <x:c r="J20" s="46" t="str">
        <x:v>INV-11005</x:v>
      </x:c>
      <x:c r="K20" s="56" t="n">
        <x:f>IF(D20="Revenue",H20,0)</x:f>
        <x:v>4717</x:v>
      </x:c>
      <x:c r="L20" s="56" t="n">
        <x:f>IF(D20="Expense",H20,0)</x:f>
        <x:v>0</x:v>
      </x:c>
      <x:c r="M20" s="56" t="n">
        <x:f>K20-L20</x:f>
        <x:v>4717</x:v>
      </x:c>
      <x:c r="N20" s="48" t="str">
        <x:f>IF(OR(D20="",E20="",H20&lt;=0),"Yes",IF(AND(D20="Revenue",I20=""),"Yes","No"))</x:f>
        <x:v>No</x:v>
      </x:c>
      <x:c r="O20" s="72" t="str"/>
    </x:row>
    <x:row r="21">
      <x:c r="A21" s="58" t="n">
        <x:v>46045</x:v>
      </x:c>
      <x:c r="B21" s="52" t="n">
        <x:f>DATE(YEAR(A21),MONTH(A21),1)</x:f>
        <x:v>46023</x:v>
      </x:c>
      <x:c r="C21" s="46" t="str">
        <x:v>TX-1010</x:v>
      </x:c>
      <x:c r="D21" s="46" t="str">
        <x:v>Expense</x:v>
      </x:c>
      <x:c r="E21" s="46" t="str">
        <x:v>Fuel &amp; Vehicle</x:v>
      </x:c>
      <x:c r="F21" s="46" t="str"/>
      <x:c r="G21" s="72" t="str">
        <x:v>Job-related purchase</x:v>
      </x:c>
      <x:c r="H21" s="54" t="n">
        <x:v>348</x:v>
      </x:c>
      <x:c r="I21" s="46" t="str">
        <x:v>Paid</x:v>
      </x:c>
      <x:c r="J21" s="46" t="str">
        <x:v>REF-1010</x:v>
      </x:c>
      <x:c r="K21" s="56" t="n">
        <x:f>IF(D21="Revenue",H21,0)</x:f>
        <x:v>0</x:v>
      </x:c>
      <x:c r="L21" s="56" t="n">
        <x:f>IF(D21="Expense",H21,0)</x:f>
        <x:v>348</x:v>
      </x:c>
      <x:c r="M21" s="56" t="n">
        <x:f>K21-L21</x:f>
        <x:v>-348</x:v>
      </x:c>
      <x:c r="N21" s="48" t="str">
        <x:f>IF(OR(D21="",E21="",H21&lt;=0),"Yes",IF(AND(D21="Revenue",I21=""),"Yes","No"))</x:f>
        <x:v>No</x:v>
      </x:c>
      <x:c r="O21" s="72" t="str"/>
    </x:row>
    <x:row r="22">
      <x:c r="A22" s="58" t="n">
        <x:v>46045</x:v>
      </x:c>
      <x:c r="B22" s="52" t="n">
        <x:f>DATE(YEAR(A22),MONTH(A22),1)</x:f>
        <x:v>46023</x:v>
      </x:c>
      <x:c r="C22" s="46" t="str">
        <x:v>TX-1013</x:v>
      </x:c>
      <x:c r="D22" s="46" t="str">
        <x:v>Expense</x:v>
      </x:c>
      <x:c r="E22" s="46" t="str">
        <x:v>Insurance</x:v>
      </x:c>
      <x:c r="F22" s="46" t="str"/>
      <x:c r="G22" s="72" t="str">
        <x:v>Operating expense</x:v>
      </x:c>
      <x:c r="H22" s="54" t="n">
        <x:v>2303</x:v>
      </x:c>
      <x:c r="I22" s="46" t="str">
        <x:v>Paid</x:v>
      </x:c>
      <x:c r="J22" s="46" t="str">
        <x:v>REF-1013</x:v>
      </x:c>
      <x:c r="K22" s="56" t="n">
        <x:f>IF(D22="Revenue",H22,0)</x:f>
        <x:v>0</x:v>
      </x:c>
      <x:c r="L22" s="56" t="n">
        <x:f>IF(D22="Expense",H22,0)</x:f>
        <x:v>2303</x:v>
      </x:c>
      <x:c r="M22" s="56" t="n">
        <x:f>K22-L22</x:f>
        <x:v>-2303</x:v>
      </x:c>
      <x:c r="N22" s="48" t="str">
        <x:f>IF(OR(D22="",E22="",H22&lt;=0),"Yes",IF(AND(D22="Revenue",I22=""),"Yes","No"))</x:f>
        <x:v>No</x:v>
      </x:c>
      <x:c r="O22" s="72" t="str"/>
    </x:row>
    <x:row r="23">
      <x:c r="A23" s="58" t="n">
        <x:v>46046</x:v>
      </x:c>
      <x:c r="B23" s="52" t="n">
        <x:f>DATE(YEAR(A23),MONTH(A23),1)</x:f>
        <x:v>46023</x:v>
      </x:c>
      <x:c r="C23" s="46" t="str">
        <x:v>TX-1006</x:v>
      </x:c>
      <x:c r="D23" s="46" t="str">
        <x:v>Revenue</x:v>
      </x:c>
      <x:c r="E23" s="46" t="str">
        <x:v>Sales Revenue</x:v>
      </x:c>
      <x:c r="F23" s="46" t="str">
        <x:v>Aspen Ridge HOA</x:v>
      </x:c>
      <x:c r="G23" s="72" t="str">
        <x:v>Monthly service</x:v>
      </x:c>
      <x:c r="H23" s="54" t="n">
        <x:v>6264</x:v>
      </x:c>
      <x:c r="I23" s="46" t="str">
        <x:v>Paid</x:v>
      </x:c>
      <x:c r="J23" s="46" t="str">
        <x:v>INV-11006</x:v>
      </x:c>
      <x:c r="K23" s="56" t="n">
        <x:f>IF(D23="Revenue",H23,0)</x:f>
        <x:v>6264</x:v>
      </x:c>
      <x:c r="L23" s="56" t="n">
        <x:f>IF(D23="Expense",H23,0)</x:f>
        <x:v>0</x:v>
      </x:c>
      <x:c r="M23" s="56" t="n">
        <x:f>K23-L23</x:f>
        <x:v>6264</x:v>
      </x:c>
      <x:c r="N23" s="48" t="str">
        <x:f>IF(OR(D23="",E23="",H23&lt;=0),"Yes",IF(AND(D23="Revenue",I23=""),"Yes","No"))</x:f>
        <x:v>No</x:v>
      </x:c>
      <x:c r="O23" s="72" t="str"/>
    </x:row>
    <x:row r="24">
      <x:c r="A24" s="58" t="n">
        <x:v>46046</x:v>
      </x:c>
      <x:c r="B24" s="52" t="n">
        <x:f>DATE(YEAR(A24),MONTH(A24),1)</x:f>
        <x:v>46023</x:v>
      </x:c>
      <x:c r="C24" s="46" t="str">
        <x:v>TX-1011</x:v>
      </x:c>
      <x:c r="D24" s="46" t="str">
        <x:v>Expense</x:v>
      </x:c>
      <x:c r="E24" s="46" t="str">
        <x:v>Professional Fees</x:v>
      </x:c>
      <x:c r="F24" s="46" t="str"/>
      <x:c r="G24" s="72" t="str">
        <x:v>Monthly bill</x:v>
      </x:c>
      <x:c r="H24" s="54" t="n">
        <x:v>2248</x:v>
      </x:c>
      <x:c r="I24" s="46" t="str">
        <x:v>Paid</x:v>
      </x:c>
      <x:c r="J24" s="46" t="str">
        <x:v>REF-1011</x:v>
      </x:c>
      <x:c r="K24" s="56" t="n">
        <x:f>IF(D24="Revenue",H24,0)</x:f>
        <x:v>0</x:v>
      </x:c>
      <x:c r="L24" s="56" t="n">
        <x:f>IF(D24="Expense",H24,0)</x:f>
        <x:v>2248</x:v>
      </x:c>
      <x:c r="M24" s="56" t="n">
        <x:f>K24-L24</x:f>
        <x:v>-2248</x:v>
      </x:c>
      <x:c r="N24" s="48" t="str">
        <x:f>IF(OR(D24="",E24="",H24&lt;=0),"Yes",IF(AND(D24="Revenue",I24=""),"Yes","No"))</x:f>
        <x:v>No</x:v>
      </x:c>
      <x:c r="O24" s="72" t="str"/>
    </x:row>
    <x:row r="25">
      <x:c r="A25" s="58" t="n">
        <x:v>46049</x:v>
      </x:c>
      <x:c r="B25" s="52" t="n">
        <x:f>DATE(YEAR(A25),MONTH(A25),1)</x:f>
        <x:v>46023</x:v>
      </x:c>
      <x:c r="C25" s="46" t="str">
        <x:v>TX-1004</x:v>
      </x:c>
      <x:c r="D25" s="46" t="str">
        <x:v>Revenue</x:v>
      </x:c>
      <x:c r="E25" s="46" t="str">
        <x:v>Sales Revenue</x:v>
      </x:c>
      <x:c r="F25" s="46" t="str">
        <x:v>Green Valley Homes</x:v>
      </x:c>
      <x:c r="G25" s="72" t="str">
        <x:v>Monthly service</x:v>
      </x:c>
      <x:c r="H25" s="54" t="n">
        <x:v>1546</x:v>
      </x:c>
      <x:c r="I25" s="46" t="str">
        <x:v>Paid</x:v>
      </x:c>
      <x:c r="J25" s="46" t="str">
        <x:v>INV-11004</x:v>
      </x:c>
      <x:c r="K25" s="56" t="n">
        <x:f>IF(D25="Revenue",H25,0)</x:f>
        <x:v>1546</x:v>
      </x:c>
      <x:c r="L25" s="56" t="n">
        <x:f>IF(D25="Expense",H25,0)</x:f>
        <x:v>0</x:v>
      </x:c>
      <x:c r="M25" s="56" t="n">
        <x:f>K25-L25</x:f>
        <x:v>1546</x:v>
      </x:c>
      <x:c r="N25" s="48" t="str">
        <x:f>IF(OR(D25="",E25="",H25&lt;=0),"Yes",IF(AND(D25="Revenue",I25=""),"Yes","No"))</x:f>
        <x:v>No</x:v>
      </x:c>
      <x:c r="O25" s="72" t="str"/>
    </x:row>
    <x:row r="26">
      <x:c r="A26" s="58" t="n">
        <x:v>46049</x:v>
      </x:c>
      <x:c r="B26" s="52" t="n">
        <x:f>DATE(YEAR(A26),MONTH(A26),1)</x:f>
        <x:v>46023</x:v>
      </x:c>
      <x:c r="C26" s="46" t="str">
        <x:v>TX-1021</x:v>
      </x:c>
      <x:c r="D26" s="46" t="str">
        <x:v>Expense</x:v>
      </x:c>
      <x:c r="E26" s="46" t="str">
        <x:v>Payroll</x:v>
      </x:c>
      <x:c r="F26" s="46" t="str"/>
      <x:c r="G26" s="72" t="str">
        <x:v>Operating expense</x:v>
      </x:c>
      <x:c r="H26" s="54" t="n">
        <x:v>1434</x:v>
      </x:c>
      <x:c r="I26" s="46" t="str">
        <x:v>Paid</x:v>
      </x:c>
      <x:c r="J26" s="46" t="str">
        <x:v>REF-1021</x:v>
      </x:c>
      <x:c r="K26" s="56" t="n">
        <x:f>IF(D26="Revenue",H26,0)</x:f>
        <x:v>0</x:v>
      </x:c>
      <x:c r="L26" s="56" t="n">
        <x:f>IF(D26="Expense",H26,0)</x:f>
        <x:v>1434</x:v>
      </x:c>
      <x:c r="M26" s="56" t="n">
        <x:f>K26-L26</x:f>
        <x:v>-1434</x:v>
      </x:c>
      <x:c r="N26" s="48" t="str">
        <x:f>IF(OR(D26="",E26="",H26&lt;=0),"Yes",IF(AND(D26="Revenue",I26=""),"Yes","No"))</x:f>
        <x:v>No</x:v>
      </x:c>
      <x:c r="O26" s="72" t="str"/>
    </x:row>
    <x:row r="27">
      <x:c r="A27" s="58" t="n">
        <x:v>46055</x:v>
      </x:c>
      <x:c r="B27" s="52" t="n">
        <x:f>DATE(YEAR(A27),MONTH(A27),1)</x:f>
        <x:v>46054</x:v>
      </x:c>
      <x:c r="C27" s="46" t="str">
        <x:v>TX-1034</x:v>
      </x:c>
      <x:c r="D27" s="46" t="str">
        <x:v>Expense</x:v>
      </x:c>
      <x:c r="E27" s="46" t="str">
        <x:v>Fuel &amp; Vehicle</x:v>
      </x:c>
      <x:c r="F27" s="46" t="str"/>
      <x:c r="G27" s="72" t="str">
        <x:v>Vendor payment</x:v>
      </x:c>
      <x:c r="H27" s="54" t="n">
        <x:v>174</x:v>
      </x:c>
      <x:c r="I27" s="46" t="str">
        <x:v>Paid</x:v>
      </x:c>
      <x:c r="J27" s="46" t="str">
        <x:v>REF-1034</x:v>
      </x:c>
      <x:c r="K27" s="56" t="n">
        <x:f>IF(D27="Revenue",H27,0)</x:f>
        <x:v>0</x:v>
      </x:c>
      <x:c r="L27" s="56" t="n">
        <x:f>IF(D27="Expense",H27,0)</x:f>
        <x:v>174</x:v>
      </x:c>
      <x:c r="M27" s="56" t="n">
        <x:f>K27-L27</x:f>
        <x:v>-174</x:v>
      </x:c>
      <x:c r="N27" s="48" t="str">
        <x:f>IF(OR(D27="",E27="",H27&lt;=0),"Yes",IF(AND(D27="Revenue",I27=""),"Yes","No"))</x:f>
        <x:v>No</x:v>
      </x:c>
      <x:c r="O27" s="72" t="str"/>
    </x:row>
    <x:row r="28">
      <x:c r="A28" s="58" t="n">
        <x:v>46057</x:v>
      </x:c>
      <x:c r="B28" s="52" t="n">
        <x:f>DATE(YEAR(A28),MONTH(A28),1)</x:f>
        <x:v>46054</x:v>
      </x:c>
      <x:c r="C28" s="46" t="str">
        <x:v>TX-1035</x:v>
      </x:c>
      <x:c r="D28" s="46" t="str">
        <x:v>Expense</x:v>
      </x:c>
      <x:c r="E28" s="46" t="str">
        <x:v>Fuel &amp; Vehicle</x:v>
      </x:c>
      <x:c r="F28" s="46" t="str"/>
      <x:c r="G28" s="72" t="str">
        <x:v>Monthly bill</x:v>
      </x:c>
      <x:c r="H28" s="54" t="n">
        <x:v>65</x:v>
      </x:c>
      <x:c r="I28" s="46" t="str">
        <x:v>Paid</x:v>
      </x:c>
      <x:c r="J28" s="46" t="str">
        <x:v>REF-1035</x:v>
      </x:c>
      <x:c r="K28" s="56" t="n">
        <x:f>IF(D28="Revenue",H28,0)</x:f>
        <x:v>0</x:v>
      </x:c>
      <x:c r="L28" s="56" t="n">
        <x:f>IF(D28="Expense",H28,0)</x:f>
        <x:v>65</x:v>
      </x:c>
      <x:c r="M28" s="56" t="n">
        <x:f>K28-L28</x:f>
        <x:v>-65</x:v>
      </x:c>
      <x:c r="N28" s="48" t="str">
        <x:f>IF(OR(D28="",E28="",H28&lt;=0),"Yes",IF(AND(D28="Revenue",I28=""),"Yes","No"))</x:f>
        <x:v>No</x:v>
      </x:c>
      <x:c r="O28" s="72" t="str"/>
    </x:row>
    <x:row r="29">
      <x:c r="A29" s="58" t="n">
        <x:v>46060</x:v>
      </x:c>
      <x:c r="B29" s="52" t="n">
        <x:f>DATE(YEAR(A29),MONTH(A29),1)</x:f>
        <x:v>46054</x:v>
      </x:c>
      <x:c r="C29" s="46" t="str">
        <x:v>TX-1026</x:v>
      </x:c>
      <x:c r="D29" s="46" t="str">
        <x:v>Revenue</x:v>
      </x:c>
      <x:c r="E29" s="46" t="str">
        <x:v>Sales Revenue</x:v>
      </x:c>
      <x:c r="F29" s="46" t="str">
        <x:v>Aspen Ridge HOA</x:v>
      </x:c>
      <x:c r="G29" s="72" t="str">
        <x:v>Monthly service</x:v>
      </x:c>
      <x:c r="H29" s="54" t="n">
        <x:v>1948</x:v>
      </x:c>
      <x:c r="I29" s="46" t="str">
        <x:v>Paid</x:v>
      </x:c>
      <x:c r="J29" s="46" t="str">
        <x:v>INV-21026</x:v>
      </x:c>
      <x:c r="K29" s="56" t="n">
        <x:f>IF(D29="Revenue",H29,0)</x:f>
        <x:v>1948</x:v>
      </x:c>
      <x:c r="L29" s="56" t="n">
        <x:f>IF(D29="Expense",H29,0)</x:f>
        <x:v>0</x:v>
      </x:c>
      <x:c r="M29" s="56" t="n">
        <x:f>K29-L29</x:f>
        <x:v>1948</x:v>
      </x:c>
      <x:c r="N29" s="48" t="str">
        <x:f>IF(OR(D29="",E29="",H29&lt;=0),"Yes",IF(AND(D29="Revenue",I29=""),"Yes","No"))</x:f>
        <x:v>No</x:v>
      </x:c>
      <x:c r="O29" s="72" t="str"/>
    </x:row>
    <x:row r="30">
      <x:c r="A30" s="58" t="n">
        <x:v>46060</x:v>
      </x:c>
      <x:c r="B30" s="52" t="n">
        <x:f>DATE(YEAR(A30),MONTH(A30),1)</x:f>
        <x:v>46054</x:v>
      </x:c>
      <x:c r="C30" s="46" t="str">
        <x:v>TX-1043</x:v>
      </x:c>
      <x:c r="D30" s="46" t="str">
        <x:v>Expense</x:v>
      </x:c>
      <x:c r="E30" s="46" t="str">
        <x:v>Marketing</x:v>
      </x:c>
      <x:c r="F30" s="46" t="str"/>
      <x:c r="G30" s="72" t="str">
        <x:v>Monthly bill</x:v>
      </x:c>
      <x:c r="H30" s="54" t="n">
        <x:v>1021</x:v>
      </x:c>
      <x:c r="I30" s="46" t="str">
        <x:v>Paid</x:v>
      </x:c>
      <x:c r="J30" s="46" t="str">
        <x:v>REF-1043</x:v>
      </x:c>
      <x:c r="K30" s="56" t="n">
        <x:f>IF(D30="Revenue",H30,0)</x:f>
        <x:v>0</x:v>
      </x:c>
      <x:c r="L30" s="56" t="n">
        <x:f>IF(D30="Expense",H30,0)</x:f>
        <x:v>1021</x:v>
      </x:c>
      <x:c r="M30" s="56" t="n">
        <x:f>K30-L30</x:f>
        <x:v>-1021</x:v>
      </x:c>
      <x:c r="N30" s="48" t="str">
        <x:f>IF(OR(D30="",E30="",H30&lt;=0),"Yes",IF(AND(D30="Revenue",I30=""),"Yes","No"))</x:f>
        <x:v>No</x:v>
      </x:c>
      <x:c r="O30" s="72" t="str"/>
    </x:row>
    <x:row r="31">
      <x:c r="A31" s="58" t="n">
        <x:v>46060</x:v>
      </x:c>
      <x:c r="B31" s="52" t="n">
        <x:f>DATE(YEAR(A31),MONTH(A31),1)</x:f>
        <x:v>46054</x:v>
      </x:c>
      <x:c r="C31" s="46" t="str">
        <x:v>TX-1044</x:v>
      </x:c>
      <x:c r="D31" s="46" t="str">
        <x:v>Expense</x:v>
      </x:c>
      <x:c r="E31" s="46" t="str">
        <x:v>Rent</x:v>
      </x:c>
      <x:c r="F31" s="46" t="str"/>
      <x:c r="G31" s="72" t="str">
        <x:v>Monthly bill</x:v>
      </x:c>
      <x:c r="H31" s="54" t="n">
        <x:v>1473</x:v>
      </x:c>
      <x:c r="I31" s="46" t="str">
        <x:v>Paid</x:v>
      </x:c>
      <x:c r="J31" s="46" t="str">
        <x:v>REF-1044</x:v>
      </x:c>
      <x:c r="K31" s="56" t="n">
        <x:f>IF(D31="Revenue",H31,0)</x:f>
        <x:v>0</x:v>
      </x:c>
      <x:c r="L31" s="56" t="n">
        <x:f>IF(D31="Expense",H31,0)</x:f>
        <x:v>1473</x:v>
      </x:c>
      <x:c r="M31" s="56" t="n">
        <x:f>K31-L31</x:f>
        <x:v>-1473</x:v>
      </x:c>
      <x:c r="N31" s="48" t="str">
        <x:f>IF(OR(D31="",E31="",H31&lt;=0),"Yes",IF(AND(D31="Revenue",I31=""),"Yes","No"))</x:f>
        <x:v>No</x:v>
      </x:c>
      <x:c r="O31" s="72" t="str"/>
    </x:row>
    <x:row r="32">
      <x:c r="A32" s="58" t="n">
        <x:v>46061</x:v>
      </x:c>
      <x:c r="B32" s="52" t="n">
        <x:f>DATE(YEAR(A32),MONTH(A32),1)</x:f>
        <x:v>46054</x:v>
      </x:c>
      <x:c r="C32" s="46" t="str">
        <x:v>TX-1040</x:v>
      </x:c>
      <x:c r="D32" s="46" t="str">
        <x:v>Expense</x:v>
      </x:c>
      <x:c r="E32" s="46" t="str">
        <x:v>Taxes &amp; Licenses</x:v>
      </x:c>
      <x:c r="F32" s="46" t="str"/>
      <x:c r="G32" s="72" t="str">
        <x:v>Job-related purchase</x:v>
      </x:c>
      <x:c r="H32" s="54" t="n">
        <x:v>645</x:v>
      </x:c>
      <x:c r="I32" s="46" t="str">
        <x:v>Paid</x:v>
      </x:c>
      <x:c r="J32" s="46" t="str">
        <x:v>REF-1040</x:v>
      </x:c>
      <x:c r="K32" s="56" t="n">
        <x:f>IF(D32="Revenue",H32,0)</x:f>
        <x:v>0</x:v>
      </x:c>
      <x:c r="L32" s="56" t="n">
        <x:f>IF(D32="Expense",H32,0)</x:f>
        <x:v>645</x:v>
      </x:c>
      <x:c r="M32" s="56" t="n">
        <x:f>K32-L32</x:f>
        <x:v>-645</x:v>
      </x:c>
      <x:c r="N32" s="48" t="str">
        <x:f>IF(OR(D32="",E32="",H32&lt;=0),"Yes",IF(AND(D32="Revenue",I32=""),"Yes","No"))</x:f>
        <x:v>No</x:v>
      </x:c>
      <x:c r="O32" s="72" t="str"/>
    </x:row>
    <x:row r="33">
      <x:c r="A33" s="58" t="n">
        <x:v>46068</x:v>
      </x:c>
      <x:c r="B33" s="52" t="n">
        <x:f>DATE(YEAR(A33),MONTH(A33),1)</x:f>
        <x:v>46054</x:v>
      </x:c>
      <x:c r="C33" s="46" t="str">
        <x:v>TX-1030</x:v>
      </x:c>
      <x:c r="D33" s="46" t="str">
        <x:v>Revenue</x:v>
      </x:c>
      <x:c r="E33" s="46" t="str">
        <x:v>Sales Revenue</x:v>
      </x:c>
      <x:c r="F33" s="46" t="str">
        <x:v>Aspen Ridge HOA</x:v>
      </x:c>
      <x:c r="G33" s="72" t="str">
        <x:v>Deposit received</x:v>
      </x:c>
      <x:c r="H33" s="54" t="n">
        <x:v>1255</x:v>
      </x:c>
      <x:c r="I33" s="46" t="str">
        <x:v>Paid</x:v>
      </x:c>
      <x:c r="J33" s="46" t="str">
        <x:v>INV-21030</x:v>
      </x:c>
      <x:c r="K33" s="56" t="n">
        <x:f>IF(D33="Revenue",H33,0)</x:f>
        <x:v>1255</x:v>
      </x:c>
      <x:c r="L33" s="56" t="n">
        <x:f>IF(D33="Expense",H33,0)</x:f>
        <x:v>0</x:v>
      </x:c>
      <x:c r="M33" s="56" t="n">
        <x:f>K33-L33</x:f>
        <x:v>1255</x:v>
      </x:c>
      <x:c r="N33" s="48" t="str">
        <x:f>IF(OR(D33="",E33="",H33&lt;=0),"Yes",IF(AND(D33="Revenue",I33=""),"Yes","No"))</x:f>
        <x:v>No</x:v>
      </x:c>
      <x:c r="O33" s="72" t="str"/>
    </x:row>
    <x:row r="34">
      <x:c r="A34" s="58" t="n">
        <x:v>46069</x:v>
      </x:c>
      <x:c r="B34" s="52" t="n">
        <x:f>DATE(YEAR(A34),MONTH(A34),1)</x:f>
        <x:v>46054</x:v>
      </x:c>
      <x:c r="C34" s="46" t="str">
        <x:v>TX-1046</x:v>
      </x:c>
      <x:c r="D34" s="46" t="str">
        <x:v>Expense</x:v>
      </x:c>
      <x:c r="E34" s="46" t="str">
        <x:v>Other Expense</x:v>
      </x:c>
      <x:c r="F34" s="46" t="str"/>
      <x:c r="G34" s="72" t="str">
        <x:v>Operating expense</x:v>
      </x:c>
      <x:c r="H34" s="54" t="n">
        <x:v>183</x:v>
      </x:c>
      <x:c r="I34" s="46" t="str">
        <x:v>Paid</x:v>
      </x:c>
      <x:c r="J34" s="46" t="str">
        <x:v>REF-1046</x:v>
      </x:c>
      <x:c r="K34" s="56" t="n">
        <x:f>IF(D34="Revenue",H34,0)</x:f>
        <x:v>0</x:v>
      </x:c>
      <x:c r="L34" s="56" t="n">
        <x:f>IF(D34="Expense",H34,0)</x:f>
        <x:v>183</x:v>
      </x:c>
      <x:c r="M34" s="56" t="n">
        <x:f>K34-L34</x:f>
        <x:v>-183</x:v>
      </x:c>
      <x:c r="N34" s="48" t="str">
        <x:f>IF(OR(D34="",E34="",H34&lt;=0),"Yes",IF(AND(D34="Revenue",I34=""),"Yes","No"))</x:f>
        <x:v>No</x:v>
      </x:c>
      <x:c r="O34" s="72" t="str"/>
    </x:row>
    <x:row r="35">
      <x:c r="A35" s="58" t="n">
        <x:v>46070</x:v>
      </x:c>
      <x:c r="B35" s="52" t="n">
        <x:f>DATE(YEAR(A35),MONTH(A35),1)</x:f>
        <x:v>46054</x:v>
      </x:c>
      <x:c r="C35" s="46" t="str">
        <x:v>TX-1037</x:v>
      </x:c>
      <x:c r="D35" s="46" t="str">
        <x:v>Expense</x:v>
      </x:c>
      <x:c r="E35" s="46" t="str">
        <x:v>Fuel &amp; Vehicle</x:v>
      </x:c>
      <x:c r="F35" s="46" t="str"/>
      <x:c r="G35" s="72" t="str">
        <x:v>Job-related purchase</x:v>
      </x:c>
      <x:c r="H35" s="54" t="n">
        <x:v>1059</x:v>
      </x:c>
      <x:c r="I35" s="46" t="str">
        <x:v>Paid</x:v>
      </x:c>
      <x:c r="J35" s="46" t="str">
        <x:v>REF-1037</x:v>
      </x:c>
      <x:c r="K35" s="56" t="n">
        <x:f>IF(D35="Revenue",H35,0)</x:f>
        <x:v>0</x:v>
      </x:c>
      <x:c r="L35" s="56" t="n">
        <x:f>IF(D35="Expense",H35,0)</x:f>
        <x:v>1059</x:v>
      </x:c>
      <x:c r="M35" s="56" t="n">
        <x:f>K35-L35</x:f>
        <x:v>-1059</x:v>
      </x:c>
      <x:c r="N35" s="48" t="str">
        <x:f>IF(OR(D35="",E35="",H35&lt;=0),"Yes",IF(AND(D35="Revenue",I35=""),"Yes","No"))</x:f>
        <x:v>No</x:v>
      </x:c>
      <x:c r="O35" s="72" t="str"/>
    </x:row>
    <x:row r="36">
      <x:c r="A36" s="58" t="n">
        <x:v>46072</x:v>
      </x:c>
      <x:c r="B36" s="52" t="n">
        <x:f>DATE(YEAR(A36),MONTH(A36),1)</x:f>
        <x:v>46054</x:v>
      </x:c>
      <x:c r="C36" s="46" t="str">
        <x:v>TX-1032</x:v>
      </x:c>
      <x:c r="D36" s="46" t="str">
        <x:v>Revenue</x:v>
      </x:c>
      <x:c r="E36" s="46" t="str">
        <x:v>Sales Revenue</x:v>
      </x:c>
      <x:c r="F36" s="46" t="str">
        <x:v>Redstone Apartments</x:v>
      </x:c>
      <x:c r="G36" s="72" t="str">
        <x:v>Monthly service</x:v>
      </x:c>
      <x:c r="H36" s="54" t="n">
        <x:v>3129</x:v>
      </x:c>
      <x:c r="I36" s="46" t="str">
        <x:v>Paid</x:v>
      </x:c>
      <x:c r="J36" s="46" t="str">
        <x:v>INV-21032</x:v>
      </x:c>
      <x:c r="K36" s="56" t="n">
        <x:f>IF(D36="Revenue",H36,0)</x:f>
        <x:v>3129</x:v>
      </x:c>
      <x:c r="L36" s="56" t="n">
        <x:f>IF(D36="Expense",H36,0)</x:f>
        <x:v>0</x:v>
      </x:c>
      <x:c r="M36" s="56" t="n">
        <x:f>K36-L36</x:f>
        <x:v>3129</x:v>
      </x:c>
      <x:c r="N36" s="48" t="str">
        <x:f>IF(OR(D36="",E36="",H36&lt;=0),"Yes",IF(AND(D36="Revenue",I36=""),"Yes","No"))</x:f>
        <x:v>No</x:v>
      </x:c>
      <x:c r="O36" s="72" t="str"/>
    </x:row>
    <x:row r="37">
      <x:c r="A37" s="58" t="n">
        <x:v>46073</x:v>
      </x:c>
      <x:c r="B37" s="52" t="n">
        <x:f>DATE(YEAR(A37),MONTH(A37),1)</x:f>
        <x:v>46054</x:v>
      </x:c>
      <x:c r="C37" s="46" t="str">
        <x:v>TX-1039</x:v>
      </x:c>
      <x:c r="D37" s="46" t="str">
        <x:v>Expense</x:v>
      </x:c>
      <x:c r="E37" s="46" t="str">
        <x:v>Rent</x:v>
      </x:c>
      <x:c r="F37" s="46" t="str"/>
      <x:c r="G37" s="72" t="str">
        <x:v>Job-related purchase</x:v>
      </x:c>
      <x:c r="H37" s="54" t="n">
        <x:v>197</x:v>
      </x:c>
      <x:c r="I37" s="46" t="str">
        <x:v>Paid</x:v>
      </x:c>
      <x:c r="J37" s="46" t="str">
        <x:v>REF-1039</x:v>
      </x:c>
      <x:c r="K37" s="56" t="n">
        <x:f>IF(D37="Revenue",H37,0)</x:f>
        <x:v>0</x:v>
      </x:c>
      <x:c r="L37" s="56" t="n">
        <x:f>IF(D37="Expense",H37,0)</x:f>
        <x:v>197</x:v>
      </x:c>
      <x:c r="M37" s="56" t="n">
        <x:f>K37-L37</x:f>
        <x:v>-197</x:v>
      </x:c>
      <x:c r="N37" s="48" t="str">
        <x:f>IF(OR(D37="",E37="",H37&lt;=0),"Yes",IF(AND(D37="Revenue",I37=""),"Yes","No"))</x:f>
        <x:v>No</x:v>
      </x:c>
      <x:c r="O37" s="72" t="str"/>
    </x:row>
    <x:row r="38">
      <x:c r="A38" s="58" t="n">
        <x:v>46074</x:v>
      </x:c>
      <x:c r="B38" s="52" t="n">
        <x:f>DATE(YEAR(A38),MONTH(A38),1)</x:f>
        <x:v>46054</x:v>
      </x:c>
      <x:c r="C38" s="46" t="str">
        <x:v>TX-1028</x:v>
      </x:c>
      <x:c r="D38" s="46" t="str">
        <x:v>Revenue</x:v>
      </x:c>
      <x:c r="E38" s="46" t="str">
        <x:v>Sales Revenue</x:v>
      </x:c>
      <x:c r="F38" s="46" t="str">
        <x:v>Green Valley Homes</x:v>
      </x:c>
      <x:c r="G38" s="72" t="str">
        <x:v>Monthly service</x:v>
      </x:c>
      <x:c r="H38" s="54" t="n">
        <x:v>1662</x:v>
      </x:c>
      <x:c r="I38" s="46" t="str">
        <x:v>Unpaid</x:v>
      </x:c>
      <x:c r="J38" s="46" t="str">
        <x:v>INV-21028</x:v>
      </x:c>
      <x:c r="K38" s="56" t="n">
        <x:f>IF(D38="Revenue",H38,0)</x:f>
        <x:v>1662</x:v>
      </x:c>
      <x:c r="L38" s="56" t="n">
        <x:f>IF(D38="Expense",H38,0)</x:f>
        <x:v>0</x:v>
      </x:c>
      <x:c r="M38" s="56" t="n">
        <x:f>K38-L38</x:f>
        <x:v>1662</x:v>
      </x:c>
      <x:c r="N38" s="48" t="str">
        <x:f>IF(OR(D38="",E38="",H38&lt;=0),"Yes",IF(AND(D38="Revenue",I38=""),"Yes","No"))</x:f>
        <x:v>No</x:v>
      </x:c>
      <x:c r="O38" s="72" t="str">
        <x:v>Follow up on collection</x:v>
      </x:c>
    </x:row>
    <x:row r="39">
      <x:c r="A39" s="58" t="n">
        <x:v>46074</x:v>
      </x:c>
      <x:c r="B39" s="52" t="n">
        <x:f>DATE(YEAR(A39),MONTH(A39),1)</x:f>
        <x:v>46054</x:v>
      </x:c>
      <x:c r="C39" s="46" t="str">
        <x:v>TX-1042</x:v>
      </x:c>
      <x:c r="D39" s="46" t="str">
        <x:v>Expense</x:v>
      </x:c>
      <x:c r="E39" s="46" t="str">
        <x:v>Other Expense</x:v>
      </x:c>
      <x:c r="F39" s="46" t="str"/>
      <x:c r="G39" s="72" t="str">
        <x:v>Vendor payment</x:v>
      </x:c>
      <x:c r="H39" s="54" t="n">
        <x:v>1000</x:v>
      </x:c>
      <x:c r="I39" s="46" t="str">
        <x:v>Paid</x:v>
      </x:c>
      <x:c r="J39" s="46" t="str">
        <x:v>REF-1042</x:v>
      </x:c>
      <x:c r="K39" s="56" t="n">
        <x:f>IF(D39="Revenue",H39,0)</x:f>
        <x:v>0</x:v>
      </x:c>
      <x:c r="L39" s="56" t="n">
        <x:f>IF(D39="Expense",H39,0)</x:f>
        <x:v>1000</x:v>
      </x:c>
      <x:c r="M39" s="56" t="n">
        <x:f>K39-L39</x:f>
        <x:v>-1000</x:v>
      </x:c>
      <x:c r="N39" s="48" t="str">
        <x:f>IF(OR(D39="",E39="",H39&lt;=0),"Yes",IF(AND(D39="Revenue",I39=""),"Yes","No"))</x:f>
        <x:v>No</x:v>
      </x:c>
      <x:c r="O39" s="72" t="str"/>
    </x:row>
    <x:row r="40">
      <x:c r="A40" s="58" t="n">
        <x:v>46076</x:v>
      </x:c>
      <x:c r="B40" s="52" t="n">
        <x:f>DATE(YEAR(A40),MONTH(A40),1)</x:f>
        <x:v>46054</x:v>
      </x:c>
      <x:c r="C40" s="46" t="str">
        <x:v>TX-1033</x:v>
      </x:c>
      <x:c r="D40" s="46" t="str">
        <x:v>Revenue</x:v>
      </x:c>
      <x:c r="E40" s="46" t="str">
        <x:v>Sales Revenue</x:v>
      </x:c>
      <x:c r="F40" s="46" t="str">
        <x:v>Green Valley Homes</x:v>
      </x:c>
      <x:c r="G40" s="72" t="str">
        <x:v>Deposit received</x:v>
      </x:c>
      <x:c r="H40" s="54" t="n">
        <x:v>4703</x:v>
      </x:c>
      <x:c r="I40" s="46" t="str">
        <x:v>Unpaid</x:v>
      </x:c>
      <x:c r="J40" s="46" t="str">
        <x:v>INV-21033</x:v>
      </x:c>
      <x:c r="K40" s="56" t="n">
        <x:f>IF(D40="Revenue",H40,0)</x:f>
        <x:v>4703</x:v>
      </x:c>
      <x:c r="L40" s="56" t="n">
        <x:f>IF(D40="Expense",H40,0)</x:f>
        <x:v>0</x:v>
      </x:c>
      <x:c r="M40" s="56" t="n">
        <x:f>K40-L40</x:f>
        <x:v>4703</x:v>
      </x:c>
      <x:c r="N40" s="48" t="str">
        <x:f>IF(OR(D40="",E40="",H40&lt;=0),"Yes",IF(AND(D40="Revenue",I40=""),"Yes","No"))</x:f>
        <x:v>No</x:v>
      </x:c>
      <x:c r="O40" s="72" t="str">
        <x:v>Follow up on collection</x:v>
      </x:c>
    </x:row>
    <x:row r="41">
      <x:c r="A41" s="58" t="n">
        <x:v>46077</x:v>
      </x:c>
      <x:c r="B41" s="52" t="n">
        <x:f>DATE(YEAR(A41),MONTH(A41),1)</x:f>
        <x:v>46054</x:v>
      </x:c>
      <x:c r="C41" s="46" t="str">
        <x:v>TX-1027</x:v>
      </x:c>
      <x:c r="D41" s="46" t="str">
        <x:v>Revenue</x:v>
      </x:c>
      <x:c r="E41" s="46" t="str">
        <x:v>Sales Revenue</x:v>
      </x:c>
      <x:c r="F41" s="46" t="str">
        <x:v>Flatirons Property Mgmt</x:v>
      </x:c>
      <x:c r="G41" s="72" t="str">
        <x:v>Monthly service</x:v>
      </x:c>
      <x:c r="H41" s="54" t="n">
        <x:v>2533</x:v>
      </x:c>
      <x:c r="I41" s="46" t="str">
        <x:v>Partial</x:v>
      </x:c>
      <x:c r="J41" s="46" t="str">
        <x:v>INV-21027</x:v>
      </x:c>
      <x:c r="K41" s="56" t="n">
        <x:f>IF(D41="Revenue",H41,0)</x:f>
        <x:v>2533</x:v>
      </x:c>
      <x:c r="L41" s="56" t="n">
        <x:f>IF(D41="Expense",H41,0)</x:f>
        <x:v>0</x:v>
      </x:c>
      <x:c r="M41" s="56" t="n">
        <x:f>K41-L41</x:f>
        <x:v>2533</x:v>
      </x:c>
      <x:c r="N41" s="48" t="str">
        <x:f>IF(OR(D41="",E41="",H41&lt;=0),"Yes",IF(AND(D41="Revenue",I41=""),"Yes","No"))</x:f>
        <x:v>No</x:v>
      </x:c>
      <x:c r="O41" s="72" t="str">
        <x:v>Follow up on collection</x:v>
      </x:c>
    </x:row>
    <x:row r="42">
      <x:c r="A42" s="58" t="n">
        <x:v>46077</x:v>
      </x:c>
      <x:c r="B42" s="52" t="n">
        <x:f>DATE(YEAR(A42),MONTH(A42),1)</x:f>
        <x:v>46054</x:v>
      </x:c>
      <x:c r="C42" s="46" t="str">
        <x:v>TX-1038</x:v>
      </x:c>
      <x:c r="D42" s="46" t="str">
        <x:v>Expense</x:v>
      </x:c>
      <x:c r="E42" s="46" t="str">
        <x:v>Meals</x:v>
      </x:c>
      <x:c r="F42" s="46" t="str"/>
      <x:c r="G42" s="72" t="str">
        <x:v>Monthly bill</x:v>
      </x:c>
      <x:c r="H42" s="54" t="n">
        <x:v>351</x:v>
      </x:c>
      <x:c r="I42" s="46" t="str">
        <x:v>Paid</x:v>
      </x:c>
      <x:c r="J42" s="46" t="str">
        <x:v>REF-1038</x:v>
      </x:c>
      <x:c r="K42" s="56" t="n">
        <x:f>IF(D42="Revenue",H42,0)</x:f>
        <x:v>0</x:v>
      </x:c>
      <x:c r="L42" s="56" t="n">
        <x:f>IF(D42="Expense",H42,0)</x:f>
        <x:v>351</x:v>
      </x:c>
      <x:c r="M42" s="56" t="n">
        <x:f>K42-L42</x:f>
        <x:v>-351</x:v>
      </x:c>
      <x:c r="N42" s="48" t="str">
        <x:f>IF(OR(D42="",E42="",H42&lt;=0),"Yes",IF(AND(D42="Revenue",I42=""),"Yes","No"))</x:f>
        <x:v>No</x:v>
      </x:c>
      <x:c r="O42" s="72" t="str"/>
    </x:row>
    <x:row r="43">
      <x:c r="A43" s="58" t="n">
        <x:v>46077</x:v>
      </x:c>
      <x:c r="B43" s="52" t="n">
        <x:f>DATE(YEAR(A43),MONTH(A43),1)</x:f>
        <x:v>46054</x:v>
      </x:c>
      <x:c r="C43" s="46" t="str">
        <x:v>TX-1041</x:v>
      </x:c>
      <x:c r="D43" s="46" t="str">
        <x:v>Expense</x:v>
      </x:c>
      <x:c r="E43" s="46" t="str">
        <x:v>Insurance</x:v>
      </x:c>
      <x:c r="F43" s="46" t="str"/>
      <x:c r="G43" s="72" t="str">
        <x:v>Monthly bill</x:v>
      </x:c>
      <x:c r="H43" s="54" t="n">
        <x:v>1057</x:v>
      </x:c>
      <x:c r="I43" s="46" t="str">
        <x:v>Paid</x:v>
      </x:c>
      <x:c r="J43" s="46" t="str">
        <x:v>REF-1041</x:v>
      </x:c>
      <x:c r="K43" s="56" t="n">
        <x:f>IF(D43="Revenue",H43,0)</x:f>
        <x:v>0</x:v>
      </x:c>
      <x:c r="L43" s="56" t="n">
        <x:f>IF(D43="Expense",H43,0)</x:f>
        <x:v>1057</x:v>
      </x:c>
      <x:c r="M43" s="56" t="n">
        <x:f>K43-L43</x:f>
        <x:v>-1057</x:v>
      </x:c>
      <x:c r="N43" s="48" t="str">
        <x:f>IF(OR(D43="",E43="",H43&lt;=0),"Yes",IF(AND(D43="Revenue",I43=""),"Yes","No"))</x:f>
        <x:v>No</x:v>
      </x:c>
      <x:c r="O43" s="72" t="str"/>
    </x:row>
    <x:row r="44">
      <x:c r="A44" s="58" t="n">
        <x:v>46078</x:v>
      </x:c>
      <x:c r="B44" s="52" t="n">
        <x:f>DATE(YEAR(A44),MONTH(A44),1)</x:f>
        <x:v>46054</x:v>
      </x:c>
      <x:c r="C44" s="46" t="str">
        <x:v>TX-1029</x:v>
      </x:c>
      <x:c r="D44" s="46" t="str">
        <x:v>Revenue</x:v>
      </x:c>
      <x:c r="E44" s="46" t="str">
        <x:v>Sales Revenue</x:v>
      </x:c>
      <x:c r="F44" s="46" t="str">
        <x:v>Peak Fitness</x:v>
      </x:c>
      <x:c r="G44" s="72" t="str">
        <x:v>Deposit received</x:v>
      </x:c>
      <x:c r="H44" s="54" t="n">
        <x:v>1782</x:v>
      </x:c>
      <x:c r="I44" s="46" t="str">
        <x:v>Paid</x:v>
      </x:c>
      <x:c r="J44" s="46" t="str">
        <x:v>INV-21029</x:v>
      </x:c>
      <x:c r="K44" s="56" t="n">
        <x:f>IF(D44="Revenue",H44,0)</x:f>
        <x:v>1782</x:v>
      </x:c>
      <x:c r="L44" s="56" t="n">
        <x:f>IF(D44="Expense",H44,0)</x:f>
        <x:v>0</x:v>
      </x:c>
      <x:c r="M44" s="56" t="n">
        <x:f>K44-L44</x:f>
        <x:v>1782</x:v>
      </x:c>
      <x:c r="N44" s="48" t="str">
        <x:f>IF(OR(D44="",E44="",H44&lt;=0),"Yes",IF(AND(D44="Revenue",I44=""),"Yes","No"))</x:f>
        <x:v>No</x:v>
      </x:c>
      <x:c r="O44" s="72" t="str"/>
    </x:row>
    <x:row r="45">
      <x:c r="A45" s="58" t="n">
        <x:v>46079</x:v>
      </x:c>
      <x:c r="B45" s="52" t="n">
        <x:f>DATE(YEAR(A45),MONTH(A45),1)</x:f>
        <x:v>46054</x:v>
      </x:c>
      <x:c r="C45" s="46" t="str">
        <x:v>TX-1025</x:v>
      </x:c>
      <x:c r="D45" s="46" t="str">
        <x:v>Revenue</x:v>
      </x:c>
      <x:c r="E45" s="46" t="str">
        <x:v>Sales Revenue</x:v>
      </x:c>
      <x:c r="F45" s="46" t="str">
        <x:v>Peak Fitness</x:v>
      </x:c>
      <x:c r="G45" s="72" t="str">
        <x:v>Monthly service</x:v>
      </x:c>
      <x:c r="H45" s="54" t="n">
        <x:v>3152</x:v>
      </x:c>
      <x:c r="I45" s="46" t="str">
        <x:v>Partial</x:v>
      </x:c>
      <x:c r="J45" s="46" t="str">
        <x:v>INV-21025</x:v>
      </x:c>
      <x:c r="K45" s="56" t="n">
        <x:f>IF(D45="Revenue",H45,0)</x:f>
        <x:v>3152</x:v>
      </x:c>
      <x:c r="L45" s="56" t="n">
        <x:f>IF(D45="Expense",H45,0)</x:f>
        <x:v>0</x:v>
      </x:c>
      <x:c r="M45" s="56" t="n">
        <x:f>K45-L45</x:f>
        <x:v>3152</x:v>
      </x:c>
      <x:c r="N45" s="48" t="str">
        <x:f>IF(OR(D45="",E45="",H45&lt;=0),"Yes",IF(AND(D45="Revenue",I45=""),"Yes","No"))</x:f>
        <x:v>No</x:v>
      </x:c>
      <x:c r="O45" s="72" t="str">
        <x:v>Follow up on collection</x:v>
      </x:c>
    </x:row>
    <x:row r="46">
      <x:c r="A46" s="58" t="n">
        <x:v>46079</x:v>
      </x:c>
      <x:c r="B46" s="52" t="n">
        <x:f>DATE(YEAR(A46),MONTH(A46),1)</x:f>
        <x:v>46054</x:v>
      </x:c>
      <x:c r="C46" s="46" t="str">
        <x:v>TX-1031</x:v>
      </x:c>
      <x:c r="D46" s="46" t="str">
        <x:v>Revenue</x:v>
      </x:c>
      <x:c r="E46" s="46" t="str">
        <x:v>Sales Revenue</x:v>
      </x:c>
      <x:c r="F46" s="46" t="str">
        <x:v>Green Valley Homes</x:v>
      </x:c>
      <x:c r="G46" s="72" t="str">
        <x:v>Monthly service</x:v>
      </x:c>
      <x:c r="H46" s="54" t="n">
        <x:v>8458</x:v>
      </x:c>
      <x:c r="I46" s="46" t="str">
        <x:v>Paid</x:v>
      </x:c>
      <x:c r="J46" s="46" t="str">
        <x:v>INV-21031</x:v>
      </x:c>
      <x:c r="K46" s="56" t="n">
        <x:f>IF(D46="Revenue",H46,0)</x:f>
        <x:v>8458</x:v>
      </x:c>
      <x:c r="L46" s="56" t="n">
        <x:f>IF(D46="Expense",H46,0)</x:f>
        <x:v>0</x:v>
      </x:c>
      <x:c r="M46" s="56" t="n">
        <x:f>K46-L46</x:f>
        <x:v>8458</x:v>
      </x:c>
      <x:c r="N46" s="48" t="str">
        <x:f>IF(OR(D46="",E46="",H46&lt;=0),"Yes",IF(AND(D46="Revenue",I46=""),"Yes","No"))</x:f>
        <x:v>No</x:v>
      </x:c>
      <x:c r="O46" s="72" t="str"/>
    </x:row>
    <x:row r="47">
      <x:c r="A47" s="58" t="n">
        <x:v>46080</x:v>
      </x:c>
      <x:c r="B47" s="52" t="n">
        <x:f>DATE(YEAR(A47),MONTH(A47),1)</x:f>
        <x:v>46054</x:v>
      </x:c>
      <x:c r="C47" s="46" t="str">
        <x:v>TX-1036</x:v>
      </x:c>
      <x:c r="D47" s="46" t="str">
        <x:v>Expense</x:v>
      </x:c>
      <x:c r="E47" s="46" t="str">
        <x:v>Software</x:v>
      </x:c>
      <x:c r="F47" s="46" t="str"/>
      <x:c r="G47" s="72" t="str">
        <x:v>Operating expense</x:v>
      </x:c>
      <x:c r="H47" s="54" t="n">
        <x:v>243</x:v>
      </x:c>
      <x:c r="I47" s="46" t="str">
        <x:v>Paid</x:v>
      </x:c>
      <x:c r="J47" s="46" t="str">
        <x:v>REF-1036</x:v>
      </x:c>
      <x:c r="K47" s="56" t="n">
        <x:f>IF(D47="Revenue",H47,0)</x:f>
        <x:v>0</x:v>
      </x:c>
      <x:c r="L47" s="56" t="n">
        <x:f>IF(D47="Expense",H47,0)</x:f>
        <x:v>243</x:v>
      </x:c>
      <x:c r="M47" s="56" t="n">
        <x:f>K47-L47</x:f>
        <x:v>-243</x:v>
      </x:c>
      <x:c r="N47" s="48" t="str">
        <x:f>IF(OR(D47="",E47="",H47&lt;=0),"Yes",IF(AND(D47="Revenue",I47=""),"Yes","No"))</x:f>
        <x:v>No</x:v>
      </x:c>
      <x:c r="O47" s="72" t="str"/>
    </x:row>
    <x:row r="48">
      <x:c r="A48" s="58" t="n">
        <x:v>46080</x:v>
      </x:c>
      <x:c r="B48" s="52" t="n">
        <x:f>DATE(YEAR(A48),MONTH(A48),1)</x:f>
        <x:v>46054</x:v>
      </x:c>
      <x:c r="C48" s="46" t="str">
        <x:v>TX-1045</x:v>
      </x:c>
      <x:c r="D48" s="46" t="str">
        <x:v>Expense</x:v>
      </x:c>
      <x:c r="E48" s="46" t="str">
        <x:v>Taxes &amp; Licenses</x:v>
      </x:c>
      <x:c r="F48" s="46" t="str"/>
      <x:c r="G48" s="72" t="str">
        <x:v>Operating expense</x:v>
      </x:c>
      <x:c r="H48" s="54" t="n">
        <x:v>1034</x:v>
      </x:c>
      <x:c r="I48" s="46" t="str">
        <x:v>Paid</x:v>
      </x:c>
      <x:c r="J48" s="46" t="str">
        <x:v>REF-1045</x:v>
      </x:c>
      <x:c r="K48" s="56" t="n">
        <x:f>IF(D48="Revenue",H48,0)</x:f>
        <x:v>0</x:v>
      </x:c>
      <x:c r="L48" s="56" t="n">
        <x:f>IF(D48="Expense",H48,0)</x:f>
        <x:v>1034</x:v>
      </x:c>
      <x:c r="M48" s="56" t="n">
        <x:f>K48-L48</x:f>
        <x:v>-1034</x:v>
      </x:c>
      <x:c r="N48" s="48" t="str">
        <x:f>IF(OR(D48="",E48="",H48&lt;=0),"Yes",IF(AND(D48="Revenue",I48=""),"Yes","No"))</x:f>
        <x:v>No</x:v>
      </x:c>
      <x:c r="O48" s="72" t="str"/>
    </x:row>
    <x:row r="49">
      <x:c r="A49" s="58" t="n">
        <x:v>46082</x:v>
      </x:c>
      <x:c r="B49" s="52" t="n">
        <x:f>DATE(YEAR(A49),MONTH(A49),1)</x:f>
        <x:v>46082</x:v>
      </x:c>
      <x:c r="C49" s="46" t="str">
        <x:v>TX-1053</x:v>
      </x:c>
      <x:c r="D49" s="46" t="str">
        <x:v>Revenue</x:v>
      </x:c>
      <x:c r="E49" s="46" t="str">
        <x:v>Sales Revenue</x:v>
      </x:c>
      <x:c r="F49" s="46" t="str">
        <x:v>Peak Fitness</x:v>
      </x:c>
      <x:c r="G49" s="72" t="str">
        <x:v>Deposit received</x:v>
      </x:c>
      <x:c r="H49" s="54" t="n">
        <x:v>1870</x:v>
      </x:c>
      <x:c r="I49" s="46" t="str">
        <x:v>Paid</x:v>
      </x:c>
      <x:c r="J49" s="46" t="str">
        <x:v>INV-31053</x:v>
      </x:c>
      <x:c r="K49" s="56" t="n">
        <x:f>IF(D49="Revenue",H49,0)</x:f>
        <x:v>1870</x:v>
      </x:c>
      <x:c r="L49" s="56" t="n">
        <x:f>IF(D49="Expense",H49,0)</x:f>
        <x:v>0</x:v>
      </x:c>
      <x:c r="M49" s="56" t="n">
        <x:f>K49-L49</x:f>
        <x:v>1870</x:v>
      </x:c>
      <x:c r="N49" s="48" t="str">
        <x:f>IF(OR(D49="",E49="",H49&lt;=0),"Yes",IF(AND(D49="Revenue",I49=""),"Yes","No"))</x:f>
        <x:v>No</x:v>
      </x:c>
      <x:c r="O49" s="72" t="str"/>
    </x:row>
    <x:row r="50">
      <x:c r="A50" s="58" t="n">
        <x:v>46084</x:v>
      </x:c>
      <x:c r="B50" s="52" t="n">
        <x:f>DATE(YEAR(A50),MONTH(A50),1)</x:f>
        <x:v>46082</x:v>
      </x:c>
      <x:c r="C50" s="46" t="str">
        <x:v>TX-1052</x:v>
      </x:c>
      <x:c r="D50" s="46" t="str">
        <x:v>Revenue</x:v>
      </x:c>
      <x:c r="E50" s="46" t="str">
        <x:v>Sales Revenue</x:v>
      </x:c>
      <x:c r="F50" s="46" t="str">
        <x:v>Redstone Apartments</x:v>
      </x:c>
      <x:c r="G50" s="72" t="str">
        <x:v>Project milestone</x:v>
      </x:c>
      <x:c r="H50" s="54" t="n">
        <x:v>2037</x:v>
      </x:c>
      <x:c r="I50" s="46" t="str">
        <x:v>Partial</x:v>
      </x:c>
      <x:c r="J50" s="46" t="str">
        <x:v>INV-31052</x:v>
      </x:c>
      <x:c r="K50" s="56" t="n">
        <x:f>IF(D50="Revenue",H50,0)</x:f>
        <x:v>2037</x:v>
      </x:c>
      <x:c r="L50" s="56" t="n">
        <x:f>IF(D50="Expense",H50,0)</x:f>
        <x:v>0</x:v>
      </x:c>
      <x:c r="M50" s="56" t="n">
        <x:f>K50-L50</x:f>
        <x:v>2037</x:v>
      </x:c>
      <x:c r="N50" s="48" t="str">
        <x:f>IF(OR(D50="",E50="",H50&lt;=0),"Yes",IF(AND(D50="Revenue",I50=""),"Yes","No"))</x:f>
        <x:v>No</x:v>
      </x:c>
      <x:c r="O50" s="72" t="str">
        <x:v>Follow up on collection</x:v>
      </x:c>
    </x:row>
    <x:row r="51">
      <x:c r="A51" s="58" t="n">
        <x:v>46084</x:v>
      </x:c>
      <x:c r="B51" s="52" t="n">
        <x:f>DATE(YEAR(A51),MONTH(A51),1)</x:f>
        <x:v>46082</x:v>
      </x:c>
      <x:c r="C51" s="46" t="str">
        <x:v>TX-1062</x:v>
      </x:c>
      <x:c r="D51" s="46" t="str">
        <x:v>Expense</x:v>
      </x:c>
      <x:c r="E51" s="46" t="str">
        <x:v>Rent</x:v>
      </x:c>
      <x:c r="F51" s="46" t="str"/>
      <x:c r="G51" s="72" t="str">
        <x:v>Operating expense</x:v>
      </x:c>
      <x:c r="H51" s="54" t="n">
        <x:v>286</x:v>
      </x:c>
      <x:c r="I51" s="46" t="str">
        <x:v>Paid</x:v>
      </x:c>
      <x:c r="J51" s="46" t="str">
        <x:v>REF-1062</x:v>
      </x:c>
      <x:c r="K51" s="56" t="n">
        <x:f>IF(D51="Revenue",H51,0)</x:f>
        <x:v>0</x:v>
      </x:c>
      <x:c r="L51" s="56" t="n">
        <x:f>IF(D51="Expense",H51,0)</x:f>
        <x:v>286</x:v>
      </x:c>
      <x:c r="M51" s="56" t="n">
        <x:f>K51-L51</x:f>
        <x:v>-286</x:v>
      </x:c>
      <x:c r="N51" s="48" t="str">
        <x:f>IF(OR(D51="",E51="",H51&lt;=0),"Yes",IF(AND(D51="Revenue",I51=""),"Yes","No"))</x:f>
        <x:v>No</x:v>
      </x:c>
      <x:c r="O51" s="72" t="str"/>
    </x:row>
    <x:row r="52">
      <x:c r="A52" s="58" t="n">
        <x:v>46085</x:v>
      </x:c>
      <x:c r="B52" s="52" t="n">
        <x:f>DATE(YEAR(A52),MONTH(A52),1)</x:f>
        <x:v>46082</x:v>
      </x:c>
      <x:c r="C52" s="46" t="str">
        <x:v>TX-1063</x:v>
      </x:c>
      <x:c r="D52" s="46" t="str">
        <x:v>Expense</x:v>
      </x:c>
      <x:c r="E52" s="46" t="str">
        <x:v>Materials</x:v>
      </x:c>
      <x:c r="F52" s="46" t="str"/>
      <x:c r="G52" s="72" t="str">
        <x:v>Operating expense</x:v>
      </x:c>
      <x:c r="H52" s="54" t="n">
        <x:v>202</x:v>
      </x:c>
      <x:c r="I52" s="46" t="str">
        <x:v>Paid</x:v>
      </x:c>
      <x:c r="J52" s="46" t="str">
        <x:v>REF-1063</x:v>
      </x:c>
      <x:c r="K52" s="56" t="n">
        <x:f>IF(D52="Revenue",H52,0)</x:f>
        <x:v>0</x:v>
      </x:c>
      <x:c r="L52" s="56" t="n">
        <x:f>IF(D52="Expense",H52,0)</x:f>
        <x:v>202</x:v>
      </x:c>
      <x:c r="M52" s="56" t="n">
        <x:f>K52-L52</x:f>
        <x:v>-202</x:v>
      </x:c>
      <x:c r="N52" s="48" t="str">
        <x:f>IF(OR(D52="",E52="",H52&lt;=0),"Yes",IF(AND(D52="Revenue",I52=""),"Yes","No"))</x:f>
        <x:v>No</x:v>
      </x:c>
      <x:c r="O52" s="72" t="str"/>
    </x:row>
    <x:row r="53">
      <x:c r="A53" s="58" t="n">
        <x:v>46086</x:v>
      </x:c>
      <x:c r="B53" s="52" t="n">
        <x:f>DATE(YEAR(A53),MONTH(A53),1)</x:f>
        <x:v>46082</x:v>
      </x:c>
      <x:c r="C53" s="46" t="str">
        <x:v>TX-1056</x:v>
      </x:c>
      <x:c r="D53" s="46" t="str">
        <x:v>Expense</x:v>
      </x:c>
      <x:c r="E53" s="46" t="str">
        <x:v>Taxes &amp; Licenses</x:v>
      </x:c>
      <x:c r="F53" s="46" t="str"/>
      <x:c r="G53" s="72" t="str">
        <x:v>Operating expense</x:v>
      </x:c>
      <x:c r="H53" s="54" t="n">
        <x:v>944</x:v>
      </x:c>
      <x:c r="I53" s="46" t="str">
        <x:v>Paid</x:v>
      </x:c>
      <x:c r="J53" s="46" t="str">
        <x:v>REF-1056</x:v>
      </x:c>
      <x:c r="K53" s="56" t="n">
        <x:f>IF(D53="Revenue",H53,0)</x:f>
        <x:v>0</x:v>
      </x:c>
      <x:c r="L53" s="56" t="n">
        <x:f>IF(D53="Expense",H53,0)</x:f>
        <x:v>944</x:v>
      </x:c>
      <x:c r="M53" s="56" t="n">
        <x:f>K53-L53</x:f>
        <x:v>-944</x:v>
      </x:c>
      <x:c r="N53" s="48" t="str">
        <x:f>IF(OR(D53="",E53="",H53&lt;=0),"Yes",IF(AND(D53="Revenue",I53=""),"Yes","No"))</x:f>
        <x:v>No</x:v>
      </x:c>
      <x:c r="O53" s="72" t="str"/>
    </x:row>
    <x:row r="54">
      <x:c r="A54" s="58" t="n">
        <x:v>46086</x:v>
      </x:c>
      <x:c r="B54" s="52" t="n">
        <x:f>DATE(YEAR(A54),MONTH(A54),1)</x:f>
        <x:v>46082</x:v>
      </x:c>
      <x:c r="C54" s="46" t="str">
        <x:v>TX-1066</x:v>
      </x:c>
      <x:c r="D54" s="46" t="str">
        <x:v>Expense</x:v>
      </x:c>
      <x:c r="E54" s="46" t="str">
        <x:v>Utilities</x:v>
      </x:c>
      <x:c r="F54" s="46" t="str"/>
      <x:c r="G54" s="72" t="str">
        <x:v>Monthly bill</x:v>
      </x:c>
      <x:c r="H54" s="54" t="n">
        <x:v>257</x:v>
      </x:c>
      <x:c r="I54" s="46" t="str">
        <x:v>Paid</x:v>
      </x:c>
      <x:c r="J54" s="46" t="str">
        <x:v>REF-1066</x:v>
      </x:c>
      <x:c r="K54" s="56" t="n">
        <x:f>IF(D54="Revenue",H54,0)</x:f>
        <x:v>0</x:v>
      </x:c>
      <x:c r="L54" s="56" t="n">
        <x:f>IF(D54="Expense",H54,0)</x:f>
        <x:v>257</x:v>
      </x:c>
      <x:c r="M54" s="56" t="n">
        <x:f>K54-L54</x:f>
        <x:v>-257</x:v>
      </x:c>
      <x:c r="N54" s="48" t="str">
        <x:f>IF(OR(D54="",E54="",H54&lt;=0),"Yes",IF(AND(D54="Revenue",I54=""),"Yes","No"))</x:f>
        <x:v>No</x:v>
      </x:c>
      <x:c r="O54" s="72" t="str"/>
    </x:row>
    <x:row r="55">
      <x:c r="A55" s="58" t="n">
        <x:v>46087</x:v>
      </x:c>
      <x:c r="B55" s="52" t="n">
        <x:f>DATE(YEAR(A55),MONTH(A55),1)</x:f>
        <x:v>46082</x:v>
      </x:c>
      <x:c r="C55" s="46" t="str">
        <x:v>TX-1060</x:v>
      </x:c>
      <x:c r="D55" s="46" t="str">
        <x:v>Expense</x:v>
      </x:c>
      <x:c r="E55" s="46" t="str">
        <x:v>Rent</x:v>
      </x:c>
      <x:c r="F55" s="46" t="str"/>
      <x:c r="G55" s="72" t="str">
        <x:v>Job-related purchase</x:v>
      </x:c>
      <x:c r="H55" s="54" t="n">
        <x:v>1413</x:v>
      </x:c>
      <x:c r="I55" s="46" t="str">
        <x:v>Paid</x:v>
      </x:c>
      <x:c r="J55" s="46" t="str">
        <x:v>REF-1060</x:v>
      </x:c>
      <x:c r="K55" s="56" t="n">
        <x:f>IF(D55="Revenue",H55,0)</x:f>
        <x:v>0</x:v>
      </x:c>
      <x:c r="L55" s="56" t="n">
        <x:f>IF(D55="Expense",H55,0)</x:f>
        <x:v>1413</x:v>
      </x:c>
      <x:c r="M55" s="56" t="n">
        <x:f>K55-L55</x:f>
        <x:v>-1413</x:v>
      </x:c>
      <x:c r="N55" s="48" t="str">
        <x:f>IF(OR(D55="",E55="",H55&lt;=0),"Yes",IF(AND(D55="Revenue",I55=""),"Yes","No"))</x:f>
        <x:v>No</x:v>
      </x:c>
      <x:c r="O55" s="72" t="str"/>
    </x:row>
    <x:row r="56">
      <x:c r="A56" s="58" t="n">
        <x:v>46088</x:v>
      </x:c>
      <x:c r="B56" s="52" t="n">
        <x:f>DATE(YEAR(A56),MONTH(A56),1)</x:f>
        <x:v>46082</x:v>
      </x:c>
      <x:c r="C56" s="46" t="str">
        <x:v>TX-1067</x:v>
      </x:c>
      <x:c r="D56" s="46" t="str">
        <x:v>Expense</x:v>
      </x:c>
      <x:c r="E56" s="46" t="str">
        <x:v>Software</x:v>
      </x:c>
      <x:c r="F56" s="46" t="str"/>
      <x:c r="G56" s="72" t="str">
        <x:v>Operating expense</x:v>
      </x:c>
      <x:c r="H56" s="54" t="n">
        <x:v>243</x:v>
      </x:c>
      <x:c r="I56" s="46" t="str">
        <x:v>Paid</x:v>
      </x:c>
      <x:c r="J56" s="46" t="str">
        <x:v>REF-1067</x:v>
      </x:c>
      <x:c r="K56" s="56" t="n">
        <x:f>IF(D56="Revenue",H56,0)</x:f>
        <x:v>0</x:v>
      </x:c>
      <x:c r="L56" s="56" t="n">
        <x:f>IF(D56="Expense",H56,0)</x:f>
        <x:v>243</x:v>
      </x:c>
      <x:c r="M56" s="56" t="n">
        <x:f>K56-L56</x:f>
        <x:v>-243</x:v>
      </x:c>
      <x:c r="N56" s="48" t="str">
        <x:f>IF(OR(D56="",E56="",H56&lt;=0),"Yes",IF(AND(D56="Revenue",I56=""),"Yes","No"))</x:f>
        <x:v>No</x:v>
      </x:c>
      <x:c r="O56" s="72" t="str"/>
    </x:row>
    <x:row r="57">
      <x:c r="A57" s="58" t="n">
        <x:v>46090</x:v>
      </x:c>
      <x:c r="B57" s="52" t="n">
        <x:f>DATE(YEAR(A57),MONTH(A57),1)</x:f>
        <x:v>46082</x:v>
      </x:c>
      <x:c r="C57" s="46" t="str">
        <x:v>TX-1049</x:v>
      </x:c>
      <x:c r="D57" s="46" t="str">
        <x:v>Revenue</x:v>
      </x:c>
      <x:c r="E57" s="46" t="str">
        <x:v>Sales Revenue</x:v>
      </x:c>
      <x:c r="F57" s="46" t="str">
        <x:v>Redstone Apartments</x:v>
      </x:c>
      <x:c r="G57" s="72" t="str">
        <x:v>Project milestone</x:v>
      </x:c>
      <x:c r="H57" s="54" t="n">
        <x:v>3250</x:v>
      </x:c>
      <x:c r="I57" s="46" t="str">
        <x:v>Paid</x:v>
      </x:c>
      <x:c r="J57" s="46" t="str">
        <x:v>INV-31049</x:v>
      </x:c>
      <x:c r="K57" s="56" t="n">
        <x:f>IF(D57="Revenue",H57,0)</x:f>
        <x:v>3250</x:v>
      </x:c>
      <x:c r="L57" s="56" t="n">
        <x:f>IF(D57="Expense",H57,0)</x:f>
        <x:v>0</x:v>
      </x:c>
      <x:c r="M57" s="56" t="n">
        <x:f>K57-L57</x:f>
        <x:v>3250</x:v>
      </x:c>
      <x:c r="N57" s="48" t="str">
        <x:f>IF(OR(D57="",E57="",H57&lt;=0),"Yes",IF(AND(D57="Revenue",I57=""),"Yes","No"))</x:f>
        <x:v>No</x:v>
      </x:c>
      <x:c r="O57" s="72" t="str"/>
    </x:row>
    <x:row r="58">
      <x:c r="A58" s="58" t="n">
        <x:v>46091</x:v>
      </x:c>
      <x:c r="B58" s="52" t="n">
        <x:f>DATE(YEAR(A58),MONTH(A58),1)</x:f>
        <x:v>46082</x:v>
      </x:c>
      <x:c r="C58" s="46" t="str">
        <x:v>TX-1071</x:v>
      </x:c>
      <x:c r="D58" s="46" t="str">
        <x:v>Expense</x:v>
      </x:c>
      <x:c r="E58" s="46" t="str">
        <x:v>Rent</x:v>
      </x:c>
      <x:c r="F58" s="46" t="str"/>
      <x:c r="G58" s="72" t="str">
        <x:v>Monthly bill</x:v>
      </x:c>
      <x:c r="H58" s="54" t="n">
        <x:v>2207</x:v>
      </x:c>
      <x:c r="I58" s="46" t="str">
        <x:v>Paid</x:v>
      </x:c>
      <x:c r="J58" s="46" t="str">
        <x:v>REF-1071</x:v>
      </x:c>
      <x:c r="K58" s="56" t="n">
        <x:f>IF(D58="Revenue",H58,0)</x:f>
        <x:v>0</x:v>
      </x:c>
      <x:c r="L58" s="56" t="n">
        <x:f>IF(D58="Expense",H58,0)</x:f>
        <x:v>2207</x:v>
      </x:c>
      <x:c r="M58" s="56" t="n">
        <x:f>K58-L58</x:f>
        <x:v>-2207</x:v>
      </x:c>
      <x:c r="N58" s="48" t="str">
        <x:f>IF(OR(D58="",E58="",H58&lt;=0),"Yes",IF(AND(D58="Revenue",I58=""),"Yes","No"))</x:f>
        <x:v>No</x:v>
      </x:c>
      <x:c r="O58" s="72" t="str"/>
    </x:row>
    <x:row r="59">
      <x:c r="A59" s="58" t="n">
        <x:v>46093</x:v>
      </x:c>
      <x:c r="B59" s="52" t="n">
        <x:f>DATE(YEAR(A59),MONTH(A59),1)</x:f>
        <x:v>46082</x:v>
      </x:c>
      <x:c r="C59" s="46" t="str">
        <x:v>TX-1051</x:v>
      </x:c>
      <x:c r="D59" s="46" t="str">
        <x:v>Revenue</x:v>
      </x:c>
      <x:c r="E59" s="46" t="str">
        <x:v>Sales Revenue</x:v>
      </x:c>
      <x:c r="F59" s="46" t="str">
        <x:v>Green Valley Homes</x:v>
      </x:c>
      <x:c r="G59" s="72" t="str">
        <x:v>Deposit received</x:v>
      </x:c>
      <x:c r="H59" s="54" t="n">
        <x:v>8408</x:v>
      </x:c>
      <x:c r="I59" s="46" t="str">
        <x:v>Unpaid</x:v>
      </x:c>
      <x:c r="J59" s="46" t="str">
        <x:v>INV-31051</x:v>
      </x:c>
      <x:c r="K59" s="56" t="n">
        <x:f>IF(D59="Revenue",H59,0)</x:f>
        <x:v>8408</x:v>
      </x:c>
      <x:c r="L59" s="56" t="n">
        <x:f>IF(D59="Expense",H59,0)</x:f>
        <x:v>0</x:v>
      </x:c>
      <x:c r="M59" s="56" t="n">
        <x:f>K59-L59</x:f>
        <x:v>8408</x:v>
      </x:c>
      <x:c r="N59" s="48" t="str">
        <x:f>IF(OR(D59="",E59="",H59&lt;=0),"Yes",IF(AND(D59="Revenue",I59=""),"Yes","No"))</x:f>
        <x:v>No</x:v>
      </x:c>
      <x:c r="O59" s="72" t="str">
        <x:v>Follow up on collection</x:v>
      </x:c>
    </x:row>
    <x:row r="60">
      <x:c r="A60" s="58" t="n">
        <x:v>46095</x:v>
      </x:c>
      <x:c r="B60" s="52" t="n">
        <x:f>DATE(YEAR(A60),MONTH(A60),1)</x:f>
        <x:v>46082</x:v>
      </x:c>
      <x:c r="C60" s="46" t="str">
        <x:v>TX-1069</x:v>
      </x:c>
      <x:c r="D60" s="46" t="str">
        <x:v>Expense</x:v>
      </x:c>
      <x:c r="E60" s="46" t="str">
        <x:v>Other Expense</x:v>
      </x:c>
      <x:c r="F60" s="46" t="str"/>
      <x:c r="G60" s="72" t="str">
        <x:v>Monthly bill</x:v>
      </x:c>
      <x:c r="H60" s="54" t="n">
        <x:v>1523</x:v>
      </x:c>
      <x:c r="I60" s="46" t="str">
        <x:v>Paid</x:v>
      </x:c>
      <x:c r="J60" s="46" t="str">
        <x:v>REF-1069</x:v>
      </x:c>
      <x:c r="K60" s="56" t="n">
        <x:f>IF(D60="Revenue",H60,0)</x:f>
        <x:v>0</x:v>
      </x:c>
      <x:c r="L60" s="56" t="n">
        <x:f>IF(D60="Expense",H60,0)</x:f>
        <x:v>1523</x:v>
      </x:c>
      <x:c r="M60" s="56" t="n">
        <x:f>K60-L60</x:f>
        <x:v>-1523</x:v>
      </x:c>
      <x:c r="N60" s="48" t="str">
        <x:f>IF(OR(D60="",E60="",H60&lt;=0),"Yes",IF(AND(D60="Revenue",I60=""),"Yes","No"))</x:f>
        <x:v>No</x:v>
      </x:c>
      <x:c r="O60" s="72" t="str"/>
    </x:row>
    <x:row r="61">
      <x:c r="A61" s="58" t="n">
        <x:v>46096</x:v>
      </x:c>
      <x:c r="B61" s="52" t="n">
        <x:f>DATE(YEAR(A61),MONTH(A61),1)</x:f>
        <x:v>46082</x:v>
      </x:c>
      <x:c r="C61" s="46" t="str">
        <x:v>TX-1054</x:v>
      </x:c>
      <x:c r="D61" s="46" t="str">
        <x:v>Revenue</x:v>
      </x:c>
      <x:c r="E61" s="46" t="str">
        <x:v>Sales Revenue</x:v>
      </x:c>
      <x:c r="F61" s="46" t="str">
        <x:v>Redstone Apartments</x:v>
      </x:c>
      <x:c r="G61" s="72" t="str">
        <x:v>Final invoice</x:v>
      </x:c>
      <x:c r="H61" s="54" t="n">
        <x:v>2294</x:v>
      </x:c>
      <x:c r="I61" s="46" t="str">
        <x:v>Paid</x:v>
      </x:c>
      <x:c r="J61" s="46" t="str">
        <x:v>INV-31054</x:v>
      </x:c>
      <x:c r="K61" s="56" t="n">
        <x:f>IF(D61="Revenue",H61,0)</x:f>
        <x:v>2294</x:v>
      </x:c>
      <x:c r="L61" s="56" t="n">
        <x:f>IF(D61="Expense",H61,0)</x:f>
        <x:v>0</x:v>
      </x:c>
      <x:c r="M61" s="56" t="n">
        <x:f>K61-L61</x:f>
        <x:v>2294</x:v>
      </x:c>
      <x:c r="N61" s="48" t="str">
        <x:f>IF(OR(D61="",E61="",H61&lt;=0),"Yes",IF(AND(D61="Revenue",I61=""),"Yes","No"))</x:f>
        <x:v>No</x:v>
      </x:c>
      <x:c r="O61" s="72" t="str"/>
    </x:row>
    <x:row r="62">
      <x:c r="A62" s="58" t="n">
        <x:v>46097</x:v>
      </x:c>
      <x:c r="B62" s="52" t="n">
        <x:f>DATE(YEAR(A62),MONTH(A62),1)</x:f>
        <x:v>46082</x:v>
      </x:c>
      <x:c r="C62" s="46" t="str">
        <x:v>TX-1047</x:v>
      </x:c>
      <x:c r="D62" s="46" t="str">
        <x:v>Revenue</x:v>
      </x:c>
      <x:c r="E62" s="46" t="str">
        <x:v>Sales Revenue</x:v>
      </x:c>
      <x:c r="F62" s="46" t="str">
        <x:v>Redstone Apartments</x:v>
      </x:c>
      <x:c r="G62" s="72" t="str">
        <x:v>Monthly service</x:v>
      </x:c>
      <x:c r="H62" s="54" t="n">
        <x:v>8577</x:v>
      </x:c>
      <x:c r="I62" s="46" t="str">
        <x:v>Partial</x:v>
      </x:c>
      <x:c r="J62" s="46" t="str">
        <x:v>INV-31047</x:v>
      </x:c>
      <x:c r="K62" s="56" t="n">
        <x:f>IF(D62="Revenue",H62,0)</x:f>
        <x:v>8577</x:v>
      </x:c>
      <x:c r="L62" s="56" t="n">
        <x:f>IF(D62="Expense",H62,0)</x:f>
        <x:v>0</x:v>
      </x:c>
      <x:c r="M62" s="56" t="n">
        <x:f>K62-L62</x:f>
        <x:v>8577</x:v>
      </x:c>
      <x:c r="N62" s="48" t="str">
        <x:f>IF(OR(D62="",E62="",H62&lt;=0),"Yes",IF(AND(D62="Revenue",I62=""),"Yes","No"))</x:f>
        <x:v>No</x:v>
      </x:c>
      <x:c r="O62" s="72" t="str">
        <x:v>Follow up on collection</x:v>
      </x:c>
    </x:row>
    <x:row r="63">
      <x:c r="A63" s="58" t="n">
        <x:v>46097</x:v>
      </x:c>
      <x:c r="B63" s="52" t="n">
        <x:f>DATE(YEAR(A63),MONTH(A63),1)</x:f>
        <x:v>46082</x:v>
      </x:c>
      <x:c r="C63" s="46" t="str">
        <x:v>TX-1072</x:v>
      </x:c>
      <x:c r="D63" s="46" t="str">
        <x:v>Expense</x:v>
      </x:c>
      <x:c r="E63" s="46" t="str">
        <x:v>Taxes &amp; Licenses</x:v>
      </x:c>
      <x:c r="F63" s="46" t="str"/>
      <x:c r="G63" s="72" t="str">
        <x:v>Job-related purchase</x:v>
      </x:c>
      <x:c r="H63" s="54" t="n">
        <x:v>680</x:v>
      </x:c>
      <x:c r="I63" s="46" t="str">
        <x:v>Paid</x:v>
      </x:c>
      <x:c r="J63" s="46" t="str">
        <x:v>REF-1072</x:v>
      </x:c>
      <x:c r="K63" s="56" t="n">
        <x:f>IF(D63="Revenue",H63,0)</x:f>
        <x:v>0</x:v>
      </x:c>
      <x:c r="L63" s="56" t="n">
        <x:f>IF(D63="Expense",H63,0)</x:f>
        <x:v>680</x:v>
      </x:c>
      <x:c r="M63" s="56" t="n">
        <x:f>K63-L63</x:f>
        <x:v>-680</x:v>
      </x:c>
      <x:c r="N63" s="48" t="str">
        <x:f>IF(OR(D63="",E63="",H63&lt;=0),"Yes",IF(AND(D63="Revenue",I63=""),"Yes","No"))</x:f>
        <x:v>No</x:v>
      </x:c>
      <x:c r="O63" s="72" t="str"/>
    </x:row>
    <x:row r="64">
      <x:c r="A64" s="58" t="n">
        <x:v>46101</x:v>
      </x:c>
      <x:c r="B64" s="52" t="n">
        <x:f>DATE(YEAR(A64),MONTH(A64),1)</x:f>
        <x:v>46082</x:v>
      </x:c>
      <x:c r="C64" s="46" t="str">
        <x:v>TX-1048</x:v>
      </x:c>
      <x:c r="D64" s="46" t="str">
        <x:v>Revenue</x:v>
      </x:c>
      <x:c r="E64" s="46" t="str">
        <x:v>Sales Revenue</x:v>
      </x:c>
      <x:c r="F64" s="46" t="str">
        <x:v>Flatirons Property Mgmt</x:v>
      </x:c>
      <x:c r="G64" s="72" t="str">
        <x:v>Final invoice</x:v>
      </x:c>
      <x:c r="H64" s="54" t="n">
        <x:v>2480</x:v>
      </x:c>
      <x:c r="I64" s="46" t="str">
        <x:v>Unpaid</x:v>
      </x:c>
      <x:c r="J64" s="46" t="str">
        <x:v>INV-31048</x:v>
      </x:c>
      <x:c r="K64" s="56" t="n">
        <x:f>IF(D64="Revenue",H64,0)</x:f>
        <x:v>2480</x:v>
      </x:c>
      <x:c r="L64" s="56" t="n">
        <x:f>IF(D64="Expense",H64,0)</x:f>
        <x:v>0</x:v>
      </x:c>
      <x:c r="M64" s="56" t="n">
        <x:f>K64-L64</x:f>
        <x:v>2480</x:v>
      </x:c>
      <x:c r="N64" s="48" t="str">
        <x:f>IF(OR(D64="",E64="",H64&lt;=0),"Yes",IF(AND(D64="Revenue",I64=""),"Yes","No"))</x:f>
        <x:v>No</x:v>
      </x:c>
      <x:c r="O64" s="72" t="str">
        <x:v>Follow up on collection</x:v>
      </x:c>
    </x:row>
    <x:row r="65">
      <x:c r="A65" s="58" t="n">
        <x:v>46102</x:v>
      </x:c>
      <x:c r="B65" s="52" t="n">
        <x:f>DATE(YEAR(A65),MONTH(A65),1)</x:f>
        <x:v>46082</x:v>
      </x:c>
      <x:c r="C65" s="46" t="str">
        <x:v>TX-1055</x:v>
      </x:c>
      <x:c r="D65" s="46" t="str">
        <x:v>Expense</x:v>
      </x:c>
      <x:c r="E65" s="46" t="str">
        <x:v>Subcontractors</x:v>
      </x:c>
      <x:c r="F65" s="46" t="str"/>
      <x:c r="G65" s="72" t="str">
        <x:v>Vendor payment</x:v>
      </x:c>
      <x:c r="H65" s="54" t="n">
        <x:v>934</x:v>
      </x:c>
      <x:c r="I65" s="46" t="str">
        <x:v>Paid</x:v>
      </x:c>
      <x:c r="J65" s="46" t="str">
        <x:v>REF-1055</x:v>
      </x:c>
      <x:c r="K65" s="56" t="n">
        <x:f>IF(D65="Revenue",H65,0)</x:f>
        <x:v>0</x:v>
      </x:c>
      <x:c r="L65" s="56" t="n">
        <x:f>IF(D65="Expense",H65,0)</x:f>
        <x:v>934</x:v>
      </x:c>
      <x:c r="M65" s="56" t="n">
        <x:f>K65-L65</x:f>
        <x:v>-934</x:v>
      </x:c>
      <x:c r="N65" s="48" t="str">
        <x:f>IF(OR(D65="",E65="",H65&lt;=0),"Yes",IF(AND(D65="Revenue",I65=""),"Yes","No"))</x:f>
        <x:v>No</x:v>
      </x:c>
      <x:c r="O65" s="72" t="str"/>
    </x:row>
    <x:row r="66">
      <x:c r="A66" s="58" t="n">
        <x:v>46104</x:v>
      </x:c>
      <x:c r="B66" s="52" t="n">
        <x:f>DATE(YEAR(A66),MONTH(A66),1)</x:f>
        <x:v>46082</x:v>
      </x:c>
      <x:c r="C66" s="46" t="str">
        <x:v>TX-1070</x:v>
      </x:c>
      <x:c r="D66" s="46" t="str">
        <x:v>Expense</x:v>
      </x:c>
      <x:c r="E66" s="46" t="str">
        <x:v>Professional Fees</x:v>
      </x:c>
      <x:c r="F66" s="46" t="str"/>
      <x:c r="G66" s="72" t="str">
        <x:v>Operating expense</x:v>
      </x:c>
      <x:c r="H66" s="54" t="n">
        <x:v>2268</x:v>
      </x:c>
      <x:c r="I66" s="46" t="str">
        <x:v>Paid</x:v>
      </x:c>
      <x:c r="J66" s="46" t="str">
        <x:v>REF-1070</x:v>
      </x:c>
      <x:c r="K66" s="56" t="n">
        <x:f>IF(D66="Revenue",H66,0)</x:f>
        <x:v>0</x:v>
      </x:c>
      <x:c r="L66" s="56" t="n">
        <x:f>IF(D66="Expense",H66,0)</x:f>
        <x:v>2268</x:v>
      </x:c>
      <x:c r="M66" s="56" t="n">
        <x:f>K66-L66</x:f>
        <x:v>-2268</x:v>
      </x:c>
      <x:c r="N66" s="48" t="str">
        <x:f>IF(OR(D66="",E66="",H66&lt;=0),"Yes",IF(AND(D66="Revenue",I66=""),"Yes","No"))</x:f>
        <x:v>No</x:v>
      </x:c>
      <x:c r="O66" s="72" t="str"/>
    </x:row>
    <x:row r="67">
      <x:c r="A67" s="58" t="n">
        <x:v>46105</x:v>
      </x:c>
      <x:c r="B67" s="52" t="n">
        <x:f>DATE(YEAR(A67),MONTH(A67),1)</x:f>
        <x:v>46082</x:v>
      </x:c>
      <x:c r="C67" s="46" t="str">
        <x:v>TX-1057</x:v>
      </x:c>
      <x:c r="D67" s="46" t="str">
        <x:v>Expense</x:v>
      </x:c>
      <x:c r="E67" s="46" t="str">
        <x:v>Materials</x:v>
      </x:c>
      <x:c r="F67" s="46" t="str"/>
      <x:c r="G67" s="72" t="str">
        <x:v>Monthly bill</x:v>
      </x:c>
      <x:c r="H67" s="54" t="n">
        <x:v>981</x:v>
      </x:c>
      <x:c r="I67" s="46" t="str">
        <x:v>Paid</x:v>
      </x:c>
      <x:c r="J67" s="46" t="str">
        <x:v>REF-1057</x:v>
      </x:c>
      <x:c r="K67" s="56" t="n">
        <x:f>IF(D67="Revenue",H67,0)</x:f>
        <x:v>0</x:v>
      </x:c>
      <x:c r="L67" s="56" t="n">
        <x:f>IF(D67="Expense",H67,0)</x:f>
        <x:v>981</x:v>
      </x:c>
      <x:c r="M67" s="56" t="n">
        <x:f>K67-L67</x:f>
        <x:v>-981</x:v>
      </x:c>
      <x:c r="N67" s="48" t="str">
        <x:f>IF(OR(D67="",E67="",H67&lt;=0),"Yes",IF(AND(D67="Revenue",I67=""),"Yes","No"))</x:f>
        <x:v>No</x:v>
      </x:c>
      <x:c r="O67" s="72" t="str"/>
    </x:row>
    <x:row r="68">
      <x:c r="A68" s="58" t="n">
        <x:v>46105</x:v>
      </x:c>
      <x:c r="B68" s="52" t="n">
        <x:f>DATE(YEAR(A68),MONTH(A68),1)</x:f>
        <x:v>46082</x:v>
      </x:c>
      <x:c r="C68" s="46" t="str">
        <x:v>TX-1058</x:v>
      </x:c>
      <x:c r="D68" s="46" t="str">
        <x:v>Expense</x:v>
      </x:c>
      <x:c r="E68" s="46" t="str">
        <x:v>Insurance</x:v>
      </x:c>
      <x:c r="F68" s="46" t="str"/>
      <x:c r="G68" s="72" t="str">
        <x:v>Vendor payment</x:v>
      </x:c>
      <x:c r="H68" s="54" t="n">
        <x:v>941</x:v>
      </x:c>
      <x:c r="I68" s="46" t="str">
        <x:v>Paid</x:v>
      </x:c>
      <x:c r="J68" s="46" t="str">
        <x:v>REF-1058</x:v>
      </x:c>
      <x:c r="K68" s="56" t="n">
        <x:f>IF(D68="Revenue",H68,0)</x:f>
        <x:v>0</x:v>
      </x:c>
      <x:c r="L68" s="56" t="n">
        <x:f>IF(D68="Expense",H68,0)</x:f>
        <x:v>941</x:v>
      </x:c>
      <x:c r="M68" s="56" t="n">
        <x:f>K68-L68</x:f>
        <x:v>-941</x:v>
      </x:c>
      <x:c r="N68" s="48" t="str">
        <x:f>IF(OR(D68="",E68="",H68&lt;=0),"Yes",IF(AND(D68="Revenue",I68=""),"Yes","No"))</x:f>
        <x:v>No</x:v>
      </x:c>
      <x:c r="O68" s="72" t="str"/>
    </x:row>
    <x:row r="69">
      <x:c r="A69" s="58" t="n">
        <x:v>46105</x:v>
      </x:c>
      <x:c r="B69" s="52" t="n">
        <x:f>DATE(YEAR(A69),MONTH(A69),1)</x:f>
        <x:v>46082</x:v>
      </x:c>
      <x:c r="C69" s="46" t="str">
        <x:v>TX-1059</x:v>
      </x:c>
      <x:c r="D69" s="46" t="str">
        <x:v>Expense</x:v>
      </x:c>
      <x:c r="E69" s="46" t="str">
        <x:v>Professional Fees</x:v>
      </x:c>
      <x:c r="F69" s="46" t="str"/>
      <x:c r="G69" s="72" t="str">
        <x:v>Operating expense</x:v>
      </x:c>
      <x:c r="H69" s="54" t="n">
        <x:v>1036</x:v>
      </x:c>
      <x:c r="I69" s="46" t="str">
        <x:v>Paid</x:v>
      </x:c>
      <x:c r="J69" s="46" t="str">
        <x:v>REF-1059</x:v>
      </x:c>
      <x:c r="K69" s="56" t="n">
        <x:f>IF(D69="Revenue",H69,0)</x:f>
        <x:v>0</x:v>
      </x:c>
      <x:c r="L69" s="56" t="n">
        <x:f>IF(D69="Expense",H69,0)</x:f>
        <x:v>1036</x:v>
      </x:c>
      <x:c r="M69" s="56" t="n">
        <x:f>K69-L69</x:f>
        <x:v>-1036</x:v>
      </x:c>
      <x:c r="N69" s="48" t="str">
        <x:f>IF(OR(D69="",E69="",H69&lt;=0),"Yes",IF(AND(D69="Revenue",I69=""),"Yes","No"))</x:f>
        <x:v>No</x:v>
      </x:c>
      <x:c r="O69" s="72" t="str"/>
    </x:row>
    <x:row r="70">
      <x:c r="A70" s="58" t="n">
        <x:v>46105</x:v>
      </x:c>
      <x:c r="B70" s="52" t="n">
        <x:f>DATE(YEAR(A70),MONTH(A70),1)</x:f>
        <x:v>46082</x:v>
      </x:c>
      <x:c r="C70" s="46" t="str">
        <x:v>TX-1061</x:v>
      </x:c>
      <x:c r="D70" s="46" t="str">
        <x:v>Expense</x:v>
      </x:c>
      <x:c r="E70" s="46" t="str">
        <x:v>Equipment</x:v>
      </x:c>
      <x:c r="F70" s="46" t="str"/>
      <x:c r="G70" s="72" t="str">
        <x:v>Operating expense</x:v>
      </x:c>
      <x:c r="H70" s="54" t="n">
        <x:v>140</x:v>
      </x:c>
      <x:c r="I70" s="46" t="str">
        <x:v>Paid</x:v>
      </x:c>
      <x:c r="J70" s="46" t="str">
        <x:v>REF-1061</x:v>
      </x:c>
      <x:c r="K70" s="56" t="n">
        <x:f>IF(D70="Revenue",H70,0)</x:f>
        <x:v>0</x:v>
      </x:c>
      <x:c r="L70" s="56" t="n">
        <x:f>IF(D70="Expense",H70,0)</x:f>
        <x:v>140</x:v>
      </x:c>
      <x:c r="M70" s="56" t="n">
        <x:f>K70-L70</x:f>
        <x:v>-140</x:v>
      </x:c>
      <x:c r="N70" s="48" t="str">
        <x:f>IF(OR(D70="",E70="",H70&lt;=0),"Yes",IF(AND(D70="Revenue",I70=""),"Yes","No"))</x:f>
        <x:v>No</x:v>
      </x:c>
      <x:c r="O70" s="72" t="str"/>
    </x:row>
    <x:row r="71">
      <x:c r="A71" s="58" t="n">
        <x:v>46105</x:v>
      </x:c>
      <x:c r="B71" s="52" t="n">
        <x:f>DATE(YEAR(A71),MONTH(A71),1)</x:f>
        <x:v>46082</x:v>
      </x:c>
      <x:c r="C71" s="46" t="str">
        <x:v>TX-1065</x:v>
      </x:c>
      <x:c r="D71" s="46" t="str">
        <x:v>Expense</x:v>
      </x:c>
      <x:c r="E71" s="46" t="str">
        <x:v>Meals</x:v>
      </x:c>
      <x:c r="F71" s="46" t="str"/>
      <x:c r="G71" s="72" t="str">
        <x:v>Vendor payment</x:v>
      </x:c>
      <x:c r="H71" s="54" t="n">
        <x:v>2203</x:v>
      </x:c>
      <x:c r="I71" s="46" t="str">
        <x:v>Paid</x:v>
      </x:c>
      <x:c r="J71" s="46" t="str">
        <x:v>REF-1065</x:v>
      </x:c>
      <x:c r="K71" s="56" t="n">
        <x:f>IF(D71="Revenue",H71,0)</x:f>
        <x:v>0</x:v>
      </x:c>
      <x:c r="L71" s="56" t="n">
        <x:f>IF(D71="Expense",H71,0)</x:f>
        <x:v>2203</x:v>
      </x:c>
      <x:c r="M71" s="56" t="n">
        <x:f>K71-L71</x:f>
        <x:v>-2203</x:v>
      </x:c>
      <x:c r="N71" s="48" t="str">
        <x:f>IF(OR(D71="",E71="",H71&lt;=0),"Yes",IF(AND(D71="Revenue",I71=""),"Yes","No"))</x:f>
        <x:v>No</x:v>
      </x:c>
      <x:c r="O71" s="72" t="str"/>
    </x:row>
    <x:row r="72">
      <x:c r="A72" s="58" t="n">
        <x:v>46106</x:v>
      </x:c>
      <x:c r="B72" s="52" t="n">
        <x:f>DATE(YEAR(A72),MONTH(A72),1)</x:f>
        <x:v>46082</x:v>
      </x:c>
      <x:c r="C72" s="46" t="str">
        <x:v>TX-1068</x:v>
      </x:c>
      <x:c r="D72" s="46" t="str">
        <x:v>Expense</x:v>
      </x:c>
      <x:c r="E72" s="46" t="str">
        <x:v>Marketing</x:v>
      </x:c>
      <x:c r="F72" s="46" t="str"/>
      <x:c r="G72" s="72" t="str">
        <x:v>Monthly bill</x:v>
      </x:c>
      <x:c r="H72" s="54" t="n">
        <x:v>174</x:v>
      </x:c>
      <x:c r="I72" s="46" t="str">
        <x:v>Paid</x:v>
      </x:c>
      <x:c r="J72" s="46" t="str">
        <x:v>REF-1068</x:v>
      </x:c>
      <x:c r="K72" s="56" t="n">
        <x:f>IF(D72="Revenue",H72,0)</x:f>
        <x:v>0</x:v>
      </x:c>
      <x:c r="L72" s="56" t="n">
        <x:f>IF(D72="Expense",H72,0)</x:f>
        <x:v>174</x:v>
      </x:c>
      <x:c r="M72" s="56" t="n">
        <x:f>K72-L72</x:f>
        <x:v>-174</x:v>
      </x:c>
      <x:c r="N72" s="48" t="str">
        <x:f>IF(OR(D72="",E72="",H72&lt;=0),"Yes",IF(AND(D72="Revenue",I72=""),"Yes","No"))</x:f>
        <x:v>No</x:v>
      </x:c>
      <x:c r="O72" s="72" t="str"/>
    </x:row>
    <x:row r="73">
      <x:c r="A73" s="58" t="n">
        <x:v>46107</x:v>
      </x:c>
      <x:c r="B73" s="52" t="n">
        <x:f>DATE(YEAR(A73),MONTH(A73),1)</x:f>
        <x:v>46082</x:v>
      </x:c>
      <x:c r="C73" s="46" t="str">
        <x:v>TX-1050</x:v>
      </x:c>
      <x:c r="D73" s="46" t="str">
        <x:v>Revenue</x:v>
      </x:c>
      <x:c r="E73" s="46" t="str">
        <x:v>Sales Revenue</x:v>
      </x:c>
      <x:c r="F73" s="46" t="str">
        <x:v>Peak Fitness</x:v>
      </x:c>
      <x:c r="G73" s="72" t="str">
        <x:v>Project milestone</x:v>
      </x:c>
      <x:c r="H73" s="54" t="n">
        <x:v>6468</x:v>
      </x:c>
      <x:c r="I73" s="46" t="str">
        <x:v>Paid</x:v>
      </x:c>
      <x:c r="J73" s="46" t="str">
        <x:v>INV-31050</x:v>
      </x:c>
      <x:c r="K73" s="56" t="n">
        <x:f>IF(D73="Revenue",H73,0)</x:f>
        <x:v>6468</x:v>
      </x:c>
      <x:c r="L73" s="56" t="n">
        <x:f>IF(D73="Expense",H73,0)</x:f>
        <x:v>0</x:v>
      </x:c>
      <x:c r="M73" s="56" t="n">
        <x:f>K73-L73</x:f>
        <x:v>6468</x:v>
      </x:c>
      <x:c r="N73" s="48" t="str">
        <x:f>IF(OR(D73="",E73="",H73&lt;=0),"Yes",IF(AND(D73="Revenue",I73=""),"Yes","No"))</x:f>
        <x:v>No</x:v>
      </x:c>
      <x:c r="O73" s="72" t="str"/>
    </x:row>
    <x:row r="74">
      <x:c r="A74" s="58" t="n">
        <x:v>46108</x:v>
      </x:c>
      <x:c r="B74" s="52" t="n">
        <x:f>DATE(YEAR(A74),MONTH(A74),1)</x:f>
        <x:v>46082</x:v>
      </x:c>
      <x:c r="C74" s="46" t="str">
        <x:v>TX-1064</x:v>
      </x:c>
      <x:c r="D74" s="46" t="str">
        <x:v>Expense</x:v>
      </x:c>
      <x:c r="E74" s="46" t="str">
        <x:v>Payroll</x:v>
      </x:c>
      <x:c r="F74" s="46" t="str"/>
      <x:c r="G74" s="72" t="str">
        <x:v>Operating expense</x:v>
      </x:c>
      <x:c r="H74" s="54" t="n">
        <x:v>1000</x:v>
      </x:c>
      <x:c r="I74" s="46" t="str">
        <x:v>Paid</x:v>
      </x:c>
      <x:c r="J74" s="46" t="str">
        <x:v>REF-1064</x:v>
      </x:c>
      <x:c r="K74" s="56" t="n">
        <x:f>IF(D74="Revenue",H74,0)</x:f>
        <x:v>0</x:v>
      </x:c>
      <x:c r="L74" s="56" t="n">
        <x:f>IF(D74="Expense",H74,0)</x:f>
        <x:v>1000</x:v>
      </x:c>
      <x:c r="M74" s="56" t="n">
        <x:f>K74-L74</x:f>
        <x:v>-1000</x:v>
      </x:c>
      <x:c r="N74" s="48" t="str">
        <x:f>IF(OR(D74="",E74="",H74&lt;=0),"Yes",IF(AND(D74="Revenue",I74=""),"Yes","No"))</x:f>
        <x:v>No</x:v>
      </x:c>
      <x:c r="O74" s="72" t="str"/>
    </x:row>
    <x:row r="75">
      <x:c r="A75" s="58" t="n">
        <x:v>46114</x:v>
      </x:c>
      <x:c r="B75" s="52" t="n">
        <x:f>DATE(YEAR(A75),MONTH(A75),1)</x:f>
        <x:v>46113</x:v>
      </x:c>
      <x:c r="C75" s="46" t="str">
        <x:v>TX-1074</x:v>
      </x:c>
      <x:c r="D75" s="46" t="str">
        <x:v>Revenue</x:v>
      </x:c>
      <x:c r="E75" s="46" t="str">
        <x:v>Sales Revenue</x:v>
      </x:c>
      <x:c r="F75" s="46" t="str">
        <x:v>Aspen Ridge HOA</x:v>
      </x:c>
      <x:c r="G75" s="72" t="str">
        <x:v>Final invoice</x:v>
      </x:c>
      <x:c r="H75" s="54" t="n">
        <x:v>8680</x:v>
      </x:c>
      <x:c r="I75" s="46" t="str">
        <x:v>Paid</x:v>
      </x:c>
      <x:c r="J75" s="46" t="str">
        <x:v>INV-41074</x:v>
      </x:c>
      <x:c r="K75" s="56" t="n">
        <x:f>IF(D75="Revenue",H75,0)</x:f>
        <x:v>8680</x:v>
      </x:c>
      <x:c r="L75" s="56" t="n">
        <x:f>IF(D75="Expense",H75,0)</x:f>
        <x:v>0</x:v>
      </x:c>
      <x:c r="M75" s="56" t="n">
        <x:f>K75-L75</x:f>
        <x:v>8680</x:v>
      </x:c>
      <x:c r="N75" s="48" t="str">
        <x:f>IF(OR(D75="",E75="",H75&lt;=0),"Yes",IF(AND(D75="Revenue",I75=""),"Yes","No"))</x:f>
        <x:v>No</x:v>
      </x:c>
      <x:c r="O75" s="72" t="str"/>
    </x:row>
    <x:row r="76">
      <x:c r="A76" s="58" t="n">
        <x:v>46114</x:v>
      </x:c>
      <x:c r="B76" s="52" t="n">
        <x:f>DATE(YEAR(A76),MONTH(A76),1)</x:f>
        <x:v>46113</x:v>
      </x:c>
      <x:c r="C76" s="46" t="str">
        <x:v>TX-1082</x:v>
      </x:c>
      <x:c r="D76" s="46" t="str">
        <x:v>Expense</x:v>
      </x:c>
      <x:c r="E76" s="46" t="str">
        <x:v>Fuel &amp; Vehicle</x:v>
      </x:c>
      <x:c r="F76" s="46" t="str"/>
      <x:c r="G76" s="72" t="str">
        <x:v>Monthly bill</x:v>
      </x:c>
      <x:c r="H76" s="54" t="n">
        <x:v>1048</x:v>
      </x:c>
      <x:c r="I76" s="46" t="str">
        <x:v>Paid</x:v>
      </x:c>
      <x:c r="J76" s="46" t="str">
        <x:v>REF-1082</x:v>
      </x:c>
      <x:c r="K76" s="56" t="n">
        <x:f>IF(D76="Revenue",H76,0)</x:f>
        <x:v>0</x:v>
      </x:c>
      <x:c r="L76" s="56" t="n">
        <x:f>IF(D76="Expense",H76,0)</x:f>
        <x:v>1048</x:v>
      </x:c>
      <x:c r="M76" s="56" t="n">
        <x:f>K76-L76</x:f>
        <x:v>-1048</x:v>
      </x:c>
      <x:c r="N76" s="48" t="str">
        <x:f>IF(OR(D76="",E76="",H76&lt;=0),"Yes",IF(AND(D76="Revenue",I76=""),"Yes","No"))</x:f>
        <x:v>No</x:v>
      </x:c>
      <x:c r="O76" s="72" t="str"/>
    </x:row>
    <x:row r="77">
      <x:c r="A77" s="58" t="n">
        <x:v>46116</x:v>
      </x:c>
      <x:c r="B77" s="52" t="n">
        <x:f>DATE(YEAR(A77),MONTH(A77),1)</x:f>
        <x:v>46113</x:v>
      </x:c>
      <x:c r="C77" s="46" t="str">
        <x:v>TX-1079</x:v>
      </x:c>
      <x:c r="D77" s="46" t="str">
        <x:v>Revenue</x:v>
      </x:c>
      <x:c r="E77" s="46" t="str">
        <x:v>Sales Revenue</x:v>
      </x:c>
      <x:c r="F77" s="46" t="str">
        <x:v>Flatirons Property Mgmt</x:v>
      </x:c>
      <x:c r="G77" s="72" t="str">
        <x:v>Project milestone</x:v>
      </x:c>
      <x:c r="H77" s="54" t="n">
        <x:v>6104</x:v>
      </x:c>
      <x:c r="I77" s="46" t="str">
        <x:v>Paid</x:v>
      </x:c>
      <x:c r="J77" s="46" t="str">
        <x:v>INV-41079</x:v>
      </x:c>
      <x:c r="K77" s="56" t="n">
        <x:f>IF(D77="Revenue",H77,0)</x:f>
        <x:v>6104</x:v>
      </x:c>
      <x:c r="L77" s="56" t="n">
        <x:f>IF(D77="Expense",H77,0)</x:f>
        <x:v>0</x:v>
      </x:c>
      <x:c r="M77" s="56" t="n">
        <x:f>K77-L77</x:f>
        <x:v>6104</x:v>
      </x:c>
      <x:c r="N77" s="48" t="str">
        <x:f>IF(OR(D77="",E77="",H77&lt;=0),"Yes",IF(AND(D77="Revenue",I77=""),"Yes","No"))</x:f>
        <x:v>No</x:v>
      </x:c>
      <x:c r="O77" s="72" t="str"/>
    </x:row>
    <x:row r="78">
      <x:c r="A78" s="58" t="n">
        <x:v>46116</x:v>
      </x:c>
      <x:c r="B78" s="52" t="n">
        <x:f>DATE(YEAR(A78),MONTH(A78),1)</x:f>
        <x:v>46113</x:v>
      </x:c>
      <x:c r="C78" s="46" t="str">
        <x:v>TX-1092</x:v>
      </x:c>
      <x:c r="D78" s="46" t="str">
        <x:v>Expense</x:v>
      </x:c>
      <x:c r="E78" s="46" t="str">
        <x:v>Materials</x:v>
      </x:c>
      <x:c r="F78" s="46" t="str"/>
      <x:c r="G78" s="72" t="str">
        <x:v>Operating expense</x:v>
      </x:c>
      <x:c r="H78" s="54" t="n">
        <x:v>173</x:v>
      </x:c>
      <x:c r="I78" s="46" t="str">
        <x:v>Paid</x:v>
      </x:c>
      <x:c r="J78" s="46" t="str">
        <x:v>REF-1092</x:v>
      </x:c>
      <x:c r="K78" s="56" t="n">
        <x:f>IF(D78="Revenue",H78,0)</x:f>
        <x:v>0</x:v>
      </x:c>
      <x:c r="L78" s="56" t="n">
        <x:f>IF(D78="Expense",H78,0)</x:f>
        <x:v>173</x:v>
      </x:c>
      <x:c r="M78" s="56" t="n">
        <x:f>K78-L78</x:f>
        <x:v>-173</x:v>
      </x:c>
      <x:c r="N78" s="48" t="str">
        <x:f>IF(OR(D78="",E78="",H78&lt;=0),"Yes",IF(AND(D78="Revenue",I78=""),"Yes","No"))</x:f>
        <x:v>No</x:v>
      </x:c>
      <x:c r="O78" s="72" t="str"/>
    </x:row>
    <x:row r="79">
      <x:c r="A79" s="58" t="n">
        <x:v>46119</x:v>
      </x:c>
      <x:c r="B79" s="52" t="n">
        <x:f>DATE(YEAR(A79),MONTH(A79),1)</x:f>
        <x:v>46113</x:v>
      </x:c>
      <x:c r="C79" s="46" t="str">
        <x:v>TX-1091</x:v>
      </x:c>
      <x:c r="D79" s="46" t="str">
        <x:v>Expense</x:v>
      </x:c>
      <x:c r="E79" s="46" t="str">
        <x:v>Payroll</x:v>
      </x:c>
      <x:c r="F79" s="46" t="str"/>
      <x:c r="G79" s="72" t="str">
        <x:v>Operating expense</x:v>
      </x:c>
      <x:c r="H79" s="54" t="n">
        <x:v>1439</x:v>
      </x:c>
      <x:c r="I79" s="46" t="str">
        <x:v>Paid</x:v>
      </x:c>
      <x:c r="J79" s="46" t="str">
        <x:v>REF-1091</x:v>
      </x:c>
      <x:c r="K79" s="56" t="n">
        <x:f>IF(D79="Revenue",H79,0)</x:f>
        <x:v>0</x:v>
      </x:c>
      <x:c r="L79" s="56" t="n">
        <x:f>IF(D79="Expense",H79,0)</x:f>
        <x:v>1439</x:v>
      </x:c>
      <x:c r="M79" s="56" t="n">
        <x:f>K79-L79</x:f>
        <x:v>-1439</x:v>
      </x:c>
      <x:c r="N79" s="48" t="str">
        <x:f>IF(OR(D79="",E79="",H79&lt;=0),"Yes",IF(AND(D79="Revenue",I79=""),"Yes","No"))</x:f>
        <x:v>No</x:v>
      </x:c>
      <x:c r="O79" s="72" t="str"/>
    </x:row>
    <x:row r="80">
      <x:c r="A80" s="58" t="n">
        <x:v>46122</x:v>
      </x:c>
      <x:c r="B80" s="52" t="n">
        <x:f>DATE(YEAR(A80),MONTH(A80),1)</x:f>
        <x:v>46113</x:v>
      </x:c>
      <x:c r="C80" s="46" t="str">
        <x:v>TX-1086</x:v>
      </x:c>
      <x:c r="D80" s="46" t="str">
        <x:v>Expense</x:v>
      </x:c>
      <x:c r="E80" s="46" t="str">
        <x:v>Software</x:v>
      </x:c>
      <x:c r="F80" s="46" t="str"/>
      <x:c r="G80" s="72" t="str">
        <x:v>Vendor payment</x:v>
      </x:c>
      <x:c r="H80" s="54" t="n">
        <x:v>2289</x:v>
      </x:c>
      <x:c r="I80" s="46" t="str">
        <x:v>Paid</x:v>
      </x:c>
      <x:c r="J80" s="46" t="str">
        <x:v>REF-1086</x:v>
      </x:c>
      <x:c r="K80" s="56" t="n">
        <x:f>IF(D80="Revenue",H80,0)</x:f>
        <x:v>0</x:v>
      </x:c>
      <x:c r="L80" s="56" t="n">
        <x:f>IF(D80="Expense",H80,0)</x:f>
        <x:v>2289</x:v>
      </x:c>
      <x:c r="M80" s="56" t="n">
        <x:f>K80-L80</x:f>
        <x:v>-2289</x:v>
      </x:c>
      <x:c r="N80" s="48" t="str">
        <x:f>IF(OR(D80="",E80="",H80&lt;=0),"Yes",IF(AND(D80="Revenue",I80=""),"Yes","No"))</x:f>
        <x:v>No</x:v>
      </x:c>
      <x:c r="O80" s="72" t="str"/>
    </x:row>
    <x:row r="81">
      <x:c r="A81" s="58" t="n">
        <x:v>46123</x:v>
      </x:c>
      <x:c r="B81" s="52" t="n">
        <x:f>DATE(YEAR(A81),MONTH(A81),1)</x:f>
        <x:v>46113</x:v>
      </x:c>
      <x:c r="C81" s="46" t="str">
        <x:v>TX-1093</x:v>
      </x:c>
      <x:c r="D81" s="46" t="str">
        <x:v>Expense</x:v>
      </x:c>
      <x:c r="E81" s="46" t="str">
        <x:v>Insurance</x:v>
      </x:c>
      <x:c r="F81" s="46" t="str"/>
      <x:c r="G81" s="72" t="str">
        <x:v>Vendor payment</x:v>
      </x:c>
      <x:c r="H81" s="54" t="n">
        <x:v>61</x:v>
      </x:c>
      <x:c r="I81" s="46" t="str">
        <x:v>Paid</x:v>
      </x:c>
      <x:c r="J81" s="46" t="str">
        <x:v>REF-1093</x:v>
      </x:c>
      <x:c r="K81" s="56" t="n">
        <x:f>IF(D81="Revenue",H81,0)</x:f>
        <x:v>0</x:v>
      </x:c>
      <x:c r="L81" s="56" t="n">
        <x:f>IF(D81="Expense",H81,0)</x:f>
        <x:v>61</x:v>
      </x:c>
      <x:c r="M81" s="56" t="n">
        <x:f>K81-L81</x:f>
        <x:v>-61</x:v>
      </x:c>
      <x:c r="N81" s="48" t="str">
        <x:f>IF(OR(D81="",E81="",H81&lt;=0),"Yes",IF(AND(D81="Revenue",I81=""),"Yes","No"))</x:f>
        <x:v>No</x:v>
      </x:c>
      <x:c r="O81" s="72" t="str"/>
    </x:row>
    <x:row r="82">
      <x:c r="A82" s="58" t="n">
        <x:v>46124</x:v>
      </x:c>
      <x:c r="B82" s="52" t="n">
        <x:f>DATE(YEAR(A82),MONTH(A82),1)</x:f>
        <x:v>46113</x:v>
      </x:c>
      <x:c r="C82" s="46" t="str">
        <x:v>TX-1075</x:v>
      </x:c>
      <x:c r="D82" s="46" t="str">
        <x:v>Revenue</x:v>
      </x:c>
      <x:c r="E82" s="46" t="str">
        <x:v>Sales Revenue</x:v>
      </x:c>
      <x:c r="F82" s="46" t="str">
        <x:v>Green Valley Homes</x:v>
      </x:c>
      <x:c r="G82" s="72" t="str">
        <x:v>Project milestone</x:v>
      </x:c>
      <x:c r="H82" s="54" t="n">
        <x:v>6028</x:v>
      </x:c>
      <x:c r="I82" s="46" t="str">
        <x:v>Paid</x:v>
      </x:c>
      <x:c r="J82" s="46" t="str">
        <x:v>INV-41075</x:v>
      </x:c>
      <x:c r="K82" s="56" t="n">
        <x:f>IF(D82="Revenue",H82,0)</x:f>
        <x:v>6028</x:v>
      </x:c>
      <x:c r="L82" s="56" t="n">
        <x:f>IF(D82="Expense",H82,0)</x:f>
        <x:v>0</x:v>
      </x:c>
      <x:c r="M82" s="56" t="n">
        <x:f>K82-L82</x:f>
        <x:v>6028</x:v>
      </x:c>
      <x:c r="N82" s="48" t="str">
        <x:f>IF(OR(D82="",E82="",H82&lt;=0),"Yes",IF(AND(D82="Revenue",I82=""),"Yes","No"))</x:f>
        <x:v>No</x:v>
      </x:c>
      <x:c r="O82" s="72" t="str"/>
    </x:row>
    <x:row r="83">
      <x:c r="A83" s="58" t="n">
        <x:v>46124</x:v>
      </x:c>
      <x:c r="B83" s="52" t="n">
        <x:f>DATE(YEAR(A83),MONTH(A83),1)</x:f>
        <x:v>46113</x:v>
      </x:c>
      <x:c r="C83" s="46" t="str">
        <x:v>TX-1078</x:v>
      </x:c>
      <x:c r="D83" s="46" t="str">
        <x:v>Revenue</x:v>
      </x:c>
      <x:c r="E83" s="46" t="str">
        <x:v>Sales Revenue</x:v>
      </x:c>
      <x:c r="F83" s="46" t="str">
        <x:v>Peak Fitness</x:v>
      </x:c>
      <x:c r="G83" s="72" t="str">
        <x:v>Final invoice</x:v>
      </x:c>
      <x:c r="H83" s="54" t="n">
        <x:v>1427</x:v>
      </x:c>
      <x:c r="I83" s="46" t="str">
        <x:v>Partial</x:v>
      </x:c>
      <x:c r="J83" s="46" t="str">
        <x:v>INV-41078</x:v>
      </x:c>
      <x:c r="K83" s="56" t="n">
        <x:f>IF(D83="Revenue",H83,0)</x:f>
        <x:v>1427</x:v>
      </x:c>
      <x:c r="L83" s="56" t="n">
        <x:f>IF(D83="Expense",H83,0)</x:f>
        <x:v>0</x:v>
      </x:c>
      <x:c r="M83" s="56" t="n">
        <x:f>K83-L83</x:f>
        <x:v>1427</x:v>
      </x:c>
      <x:c r="N83" s="48" t="str">
        <x:f>IF(OR(D83="",E83="",H83&lt;=0),"Yes",IF(AND(D83="Revenue",I83=""),"Yes","No"))</x:f>
        <x:v>No</x:v>
      </x:c>
      <x:c r="O83" s="72" t="str">
        <x:v>Follow up on collection</x:v>
      </x:c>
    </x:row>
    <x:row r="84">
      <x:c r="A84" s="58" t="n">
        <x:v>46124</x:v>
      </x:c>
      <x:c r="B84" s="52" t="n">
        <x:f>DATE(YEAR(A84),MONTH(A84),1)</x:f>
        <x:v>46113</x:v>
      </x:c>
      <x:c r="C84" s="46" t="str">
        <x:v>TX-1089</x:v>
      </x:c>
      <x:c r="D84" s="46" t="str">
        <x:v>Expense</x:v>
      </x:c>
      <x:c r="E84" s="46" t="str">
        <x:v>Marketing</x:v>
      </x:c>
      <x:c r="F84" s="46" t="str"/>
      <x:c r="G84" s="72" t="str">
        <x:v>Operating expense</x:v>
      </x:c>
      <x:c r="H84" s="54" t="n">
        <x:v>1427</x:v>
      </x:c>
      <x:c r="I84" s="46" t="str">
        <x:v>Paid</x:v>
      </x:c>
      <x:c r="J84" s="46" t="str">
        <x:v>REF-1089</x:v>
      </x:c>
      <x:c r="K84" s="56" t="n">
        <x:f>IF(D84="Revenue",H84,0)</x:f>
        <x:v>0</x:v>
      </x:c>
      <x:c r="L84" s="56" t="n">
        <x:f>IF(D84="Expense",H84,0)</x:f>
        <x:v>1427</x:v>
      </x:c>
      <x:c r="M84" s="56" t="n">
        <x:f>K84-L84</x:f>
        <x:v>-1427</x:v>
      </x:c>
      <x:c r="N84" s="48" t="str">
        <x:f>IF(OR(D84="",E84="",H84&lt;=0),"Yes",IF(AND(D84="Revenue",I84=""),"Yes","No"))</x:f>
        <x:v>No</x:v>
      </x:c>
      <x:c r="O84" s="72" t="str"/>
    </x:row>
    <x:row r="85">
      <x:c r="A85" s="58" t="n">
        <x:v>46128</x:v>
      </x:c>
      <x:c r="B85" s="52" t="n">
        <x:f>DATE(YEAR(A85),MONTH(A85),1)</x:f>
        <x:v>46113</x:v>
      </x:c>
      <x:c r="C85" s="46" t="str">
        <x:v>TX-1083</x:v>
      </x:c>
      <x:c r="D85" s="46" t="str">
        <x:v>Expense</x:v>
      </x:c>
      <x:c r="E85" s="46" t="str">
        <x:v>Meals</x:v>
      </x:c>
      <x:c r="F85" s="46" t="str"/>
      <x:c r="G85" s="72" t="str">
        <x:v>Operating expense</x:v>
      </x:c>
      <x:c r="H85" s="54" t="n">
        <x:v>277</x:v>
      </x:c>
      <x:c r="I85" s="46" t="str">
        <x:v>Paid</x:v>
      </x:c>
      <x:c r="J85" s="46" t="str">
        <x:v>REF-1083</x:v>
      </x:c>
      <x:c r="K85" s="56" t="n">
        <x:f>IF(D85="Revenue",H85,0)</x:f>
        <x:v>0</x:v>
      </x:c>
      <x:c r="L85" s="56" t="n">
        <x:f>IF(D85="Expense",H85,0)</x:f>
        <x:v>277</x:v>
      </x:c>
      <x:c r="M85" s="56" t="n">
        <x:f>K85-L85</x:f>
        <x:v>-277</x:v>
      </x:c>
      <x:c r="N85" s="48" t="str">
        <x:f>IF(OR(D85="",E85="",H85&lt;=0),"Yes",IF(AND(D85="Revenue",I85=""),"Yes","No"))</x:f>
        <x:v>No</x:v>
      </x:c>
      <x:c r="O85" s="72" t="str"/>
    </x:row>
    <x:row r="86">
      <x:c r="A86" s="58" t="n">
        <x:v>46128</x:v>
      </x:c>
      <x:c r="B86" s="52" t="n">
        <x:f>DATE(YEAR(A86),MONTH(A86),1)</x:f>
        <x:v>46113</x:v>
      </x:c>
      <x:c r="C86" s="46" t="str">
        <x:v>TX-1087</x:v>
      </x:c>
      <x:c r="D86" s="46" t="str">
        <x:v>Expense</x:v>
      </x:c>
      <x:c r="E86" s="46" t="str">
        <x:v>Taxes &amp; Licenses</x:v>
      </x:c>
      <x:c r="F86" s="46" t="str"/>
      <x:c r="G86" s="72" t="str">
        <x:v>Operating expense</x:v>
      </x:c>
      <x:c r="H86" s="54" t="n">
        <x:v>2262</x:v>
      </x:c>
      <x:c r="I86" s="46" t="str">
        <x:v>Paid</x:v>
      </x:c>
      <x:c r="J86" s="46" t="str">
        <x:v>REF-1087</x:v>
      </x:c>
      <x:c r="K86" s="56" t="n">
        <x:f>IF(D86="Revenue",H86,0)</x:f>
        <x:v>0</x:v>
      </x:c>
      <x:c r="L86" s="56" t="n">
        <x:f>IF(D86="Expense",H86,0)</x:f>
        <x:v>2262</x:v>
      </x:c>
      <x:c r="M86" s="56" t="n">
        <x:f>K86-L86</x:f>
        <x:v>-2262</x:v>
      </x:c>
      <x:c r="N86" s="48" t="str">
        <x:f>IF(OR(D86="",E86="",H86&lt;=0),"Yes",IF(AND(D86="Revenue",I86=""),"Yes","No"))</x:f>
        <x:v>No</x:v>
      </x:c>
      <x:c r="O86" s="72" t="str"/>
    </x:row>
    <x:row r="87">
      <x:c r="A87" s="58" t="n">
        <x:v>46131</x:v>
      </x:c>
      <x:c r="B87" s="52" t="n">
        <x:f>DATE(YEAR(A87),MONTH(A87),1)</x:f>
        <x:v>46113</x:v>
      </x:c>
      <x:c r="C87" s="46" t="str">
        <x:v>TX-1077</x:v>
      </x:c>
      <x:c r="D87" s="46" t="str">
        <x:v>Revenue</x:v>
      </x:c>
      <x:c r="E87" s="46" t="str">
        <x:v>Sales Revenue</x:v>
      </x:c>
      <x:c r="F87" s="46" t="str">
        <x:v>Boulder Build Co.</x:v>
      </x:c>
      <x:c r="G87" s="72" t="str">
        <x:v>Monthly service</x:v>
      </x:c>
      <x:c r="H87" s="54" t="n">
        <x:v>8735</x:v>
      </x:c>
      <x:c r="I87" s="46" t="str">
        <x:v>Paid</x:v>
      </x:c>
      <x:c r="J87" s="46" t="str">
        <x:v>INV-41077</x:v>
      </x:c>
      <x:c r="K87" s="56" t="n">
        <x:f>IF(D87="Revenue",H87,0)</x:f>
        <x:v>8735</x:v>
      </x:c>
      <x:c r="L87" s="56" t="n">
        <x:f>IF(D87="Expense",H87,0)</x:f>
        <x:v>0</x:v>
      </x:c>
      <x:c r="M87" s="56" t="n">
        <x:f>K87-L87</x:f>
        <x:v>8735</x:v>
      </x:c>
      <x:c r="N87" s="48" t="str">
        <x:f>IF(OR(D87="",E87="",H87&lt;=0),"Yes",IF(AND(D87="Revenue",I87=""),"Yes","No"))</x:f>
        <x:v>No</x:v>
      </x:c>
      <x:c r="O87" s="72" t="str"/>
    </x:row>
    <x:row r="88">
      <x:c r="A88" s="58" t="n">
        <x:v>46131</x:v>
      </x:c>
      <x:c r="B88" s="52" t="n">
        <x:f>DATE(YEAR(A88),MONTH(A88),1)</x:f>
        <x:v>46113</x:v>
      </x:c>
      <x:c r="C88" s="46" t="str">
        <x:v>TX-1085</x:v>
      </x:c>
      <x:c r="D88" s="46" t="str">
        <x:v>Expense</x:v>
      </x:c>
      <x:c r="E88" s="46" t="str">
        <x:v>Taxes &amp; Licenses</x:v>
      </x:c>
      <x:c r="F88" s="46" t="str"/>
      <x:c r="G88" s="72" t="str">
        <x:v>Monthly bill</x:v>
      </x:c>
      <x:c r="H88" s="54" t="n">
        <x:v>741</x:v>
      </x:c>
      <x:c r="I88" s="46" t="str">
        <x:v>Paid</x:v>
      </x:c>
      <x:c r="J88" s="46" t="str">
        <x:v>REF-1085</x:v>
      </x:c>
      <x:c r="K88" s="56" t="n">
        <x:f>IF(D88="Revenue",H88,0)</x:f>
        <x:v>0</x:v>
      </x:c>
      <x:c r="L88" s="56" t="n">
        <x:f>IF(D88="Expense",H88,0)</x:f>
        <x:v>741</x:v>
      </x:c>
      <x:c r="M88" s="56" t="n">
        <x:f>K88-L88</x:f>
        <x:v>-741</x:v>
      </x:c>
      <x:c r="N88" s="48" t="str">
        <x:f>IF(OR(D88="",E88="",H88&lt;=0),"Yes",IF(AND(D88="Revenue",I88=""),"Yes","No"))</x:f>
        <x:v>No</x:v>
      </x:c>
      <x:c r="O88" s="72" t="str"/>
    </x:row>
    <x:row r="89">
      <x:c r="A89" s="58" t="n">
        <x:v>46131</x:v>
      </x:c>
      <x:c r="B89" s="52" t="n">
        <x:f>DATE(YEAR(A89),MONTH(A89),1)</x:f>
        <x:v>46113</x:v>
      </x:c>
      <x:c r="C89" s="46" t="str">
        <x:v>TX-1088</x:v>
      </x:c>
      <x:c r="D89" s="46" t="str">
        <x:v>Expense</x:v>
      </x:c>
      <x:c r="E89" s="46" t="str">
        <x:v>Utilities</x:v>
      </x:c>
      <x:c r="F89" s="46" t="str"/>
      <x:c r="G89" s="72" t="str">
        <x:v>Job-related purchase</x:v>
      </x:c>
      <x:c r="H89" s="54" t="n">
        <x:v>207</x:v>
      </x:c>
      <x:c r="I89" s="46" t="str">
        <x:v>Paid</x:v>
      </x:c>
      <x:c r="J89" s="46" t="str">
        <x:v>REF-1088</x:v>
      </x:c>
      <x:c r="K89" s="56" t="n">
        <x:f>IF(D89="Revenue",H89,0)</x:f>
        <x:v>0</x:v>
      </x:c>
      <x:c r="L89" s="56" t="n">
        <x:f>IF(D89="Expense",H89,0)</x:f>
        <x:v>207</x:v>
      </x:c>
      <x:c r="M89" s="56" t="n">
        <x:f>K89-L89</x:f>
        <x:v>-207</x:v>
      </x:c>
      <x:c r="N89" s="48" t="str">
        <x:f>IF(OR(D89="",E89="",H89&lt;=0),"Yes",IF(AND(D89="Revenue",I89=""),"Yes","No"))</x:f>
        <x:v>No</x:v>
      </x:c>
      <x:c r="O89" s="72" t="str"/>
    </x:row>
    <x:row r="90">
      <x:c r="A90" s="58" t="n">
        <x:v>46133</x:v>
      </x:c>
      <x:c r="B90" s="52" t="n">
        <x:f>DATE(YEAR(A90),MONTH(A90),1)</x:f>
        <x:v>46113</x:v>
      </x:c>
      <x:c r="C90" s="46" t="str">
        <x:v>TX-1080</x:v>
      </x:c>
      <x:c r="D90" s="46" t="str">
        <x:v>Revenue</x:v>
      </x:c>
      <x:c r="E90" s="46" t="str">
        <x:v>Sales Revenue</x:v>
      </x:c>
      <x:c r="F90" s="46" t="str">
        <x:v>Boulder Build Co.</x:v>
      </x:c>
      <x:c r="G90" s="72" t="str">
        <x:v>Final invoice</x:v>
      </x:c>
      <x:c r="H90" s="54" t="n">
        <x:v>3373</x:v>
      </x:c>
      <x:c r="I90" s="46" t="str">
        <x:v>Paid</x:v>
      </x:c>
      <x:c r="J90" s="46" t="str">
        <x:v>INV-41080</x:v>
      </x:c>
      <x:c r="K90" s="56" t="n">
        <x:f>IF(D90="Revenue",H90,0)</x:f>
        <x:v>3373</x:v>
      </x:c>
      <x:c r="L90" s="56" t="n">
        <x:f>IF(D90="Expense",H90,0)</x:f>
        <x:v>0</x:v>
      </x:c>
      <x:c r="M90" s="56" t="n">
        <x:f>K90-L90</x:f>
        <x:v>3373</x:v>
      </x:c>
      <x:c r="N90" s="48" t="str">
        <x:f>IF(OR(D90="",E90="",H90&lt;=0),"Yes",IF(AND(D90="Revenue",I90=""),"Yes","No"))</x:f>
        <x:v>No</x:v>
      </x:c>
      <x:c r="O90" s="72" t="str"/>
    </x:row>
    <x:row r="91">
      <x:c r="A91" s="58" t="n">
        <x:v>46133</x:v>
      </x:c>
      <x:c r="B91" s="52" t="n">
        <x:f>DATE(YEAR(A91),MONTH(A91),1)</x:f>
        <x:v>46113</x:v>
      </x:c>
      <x:c r="C91" s="46" t="str">
        <x:v>TX-1084</x:v>
      </x:c>
      <x:c r="D91" s="46" t="str">
        <x:v>Expense</x:v>
      </x:c>
      <x:c r="E91" s="46" t="str">
        <x:v>Rent</x:v>
      </x:c>
      <x:c r="F91" s="46" t="str"/>
      <x:c r="G91" s="72" t="str">
        <x:v>Monthly bill</x:v>
      </x:c>
      <x:c r="H91" s="54" t="n">
        <x:v>172</x:v>
      </x:c>
      <x:c r="I91" s="46" t="str">
        <x:v>Paid</x:v>
      </x:c>
      <x:c r="J91" s="46" t="str">
        <x:v>REF-1084</x:v>
      </x:c>
      <x:c r="K91" s="56" t="n">
        <x:f>IF(D91="Revenue",H91,0)</x:f>
        <x:v>0</x:v>
      </x:c>
      <x:c r="L91" s="56" t="n">
        <x:f>IF(D91="Expense",H91,0)</x:f>
        <x:v>172</x:v>
      </x:c>
      <x:c r="M91" s="56" t="n">
        <x:f>K91-L91</x:f>
        <x:v>-172</x:v>
      </x:c>
      <x:c r="N91" s="48" t="str">
        <x:f>IF(OR(D91="",E91="",H91&lt;=0),"Yes",IF(AND(D91="Revenue",I91=""),"Yes","No"))</x:f>
        <x:v>No</x:v>
      </x:c>
      <x:c r="O91" s="72" t="str"/>
    </x:row>
    <x:row r="92">
      <x:c r="A92" s="58" t="n">
        <x:v>46137</x:v>
      </x:c>
      <x:c r="B92" s="52" t="n">
        <x:f>DATE(YEAR(A92),MONTH(A92),1)</x:f>
        <x:v>46113</x:v>
      </x:c>
      <x:c r="C92" s="46" t="str">
        <x:v>TX-1081</x:v>
      </x:c>
      <x:c r="D92" s="46" t="str">
        <x:v>Revenue</x:v>
      </x:c>
      <x:c r="E92" s="46" t="str">
        <x:v>Sales Revenue</x:v>
      </x:c>
      <x:c r="F92" s="46" t="str">
        <x:v>Green Valley Homes</x:v>
      </x:c>
      <x:c r="G92" s="72" t="str">
        <x:v>Final invoice</x:v>
      </x:c>
      <x:c r="H92" s="54" t="n">
        <x:v>2239</x:v>
      </x:c>
      <x:c r="I92" s="46" t="str">
        <x:v>Paid</x:v>
      </x:c>
      <x:c r="J92" s="46" t="str">
        <x:v>INV-41081</x:v>
      </x:c>
      <x:c r="K92" s="56" t="n">
        <x:f>IF(D92="Revenue",H92,0)</x:f>
        <x:v>2239</x:v>
      </x:c>
      <x:c r="L92" s="56" t="n">
        <x:f>IF(D92="Expense",H92,0)</x:f>
        <x:v>0</x:v>
      </x:c>
      <x:c r="M92" s="56" t="n">
        <x:f>K92-L92</x:f>
        <x:v>2239</x:v>
      </x:c>
      <x:c r="N92" s="48" t="str">
        <x:f>IF(OR(D92="",E92="",H92&lt;=0),"Yes",IF(AND(D92="Revenue",I92=""),"Yes","No"))</x:f>
        <x:v>No</x:v>
      </x:c>
      <x:c r="O92" s="72" t="str"/>
    </x:row>
    <x:row r="93">
      <x:c r="A93" s="58" t="n">
        <x:v>46138</x:v>
      </x:c>
      <x:c r="B93" s="52" t="n">
        <x:f>DATE(YEAR(A93),MONTH(A93),1)</x:f>
        <x:v>46113</x:v>
      </x:c>
      <x:c r="C93" s="46" t="str">
        <x:v>TX-1090</x:v>
      </x:c>
      <x:c r="D93" s="46" t="str">
        <x:v>Expense</x:v>
      </x:c>
      <x:c r="E93" s="46" t="str">
        <x:v>Payroll</x:v>
      </x:c>
      <x:c r="F93" s="46" t="str"/>
      <x:c r="G93" s="72" t="str">
        <x:v>Monthly bill</x:v>
      </x:c>
      <x:c r="H93" s="54" t="n">
        <x:v>82</x:v>
      </x:c>
      <x:c r="I93" s="46" t="str">
        <x:v>Paid</x:v>
      </x:c>
      <x:c r="J93" s="46" t="str">
        <x:v>REF-1090</x:v>
      </x:c>
      <x:c r="K93" s="56" t="n">
        <x:f>IF(D93="Revenue",H93,0)</x:f>
        <x:v>0</x:v>
      </x:c>
      <x:c r="L93" s="56" t="n">
        <x:f>IF(D93="Expense",H93,0)</x:f>
        <x:v>82</x:v>
      </x:c>
      <x:c r="M93" s="56" t="n">
        <x:f>K93-L93</x:f>
        <x:v>-82</x:v>
      </x:c>
      <x:c r="N93" s="48" t="str">
        <x:f>IF(OR(D93="",E93="",H93&lt;=0),"Yes",IF(AND(D93="Revenue",I93=""),"Yes","No"))</x:f>
        <x:v>No</x:v>
      </x:c>
      <x:c r="O93" s="72" t="str"/>
    </x:row>
    <x:row r="94">
      <x:c r="A94" s="58" t="n">
        <x:v>46139</x:v>
      </x:c>
      <x:c r="B94" s="52" t="n">
        <x:f>DATE(YEAR(A94),MONTH(A94),1)</x:f>
        <x:v>46113</x:v>
      </x:c>
      <x:c r="C94" s="46" t="str">
        <x:v>TX-1073</x:v>
      </x:c>
      <x:c r="D94" s="46" t="str">
        <x:v>Revenue</x:v>
      </x:c>
      <x:c r="E94" s="46" t="str">
        <x:v>Sales Revenue</x:v>
      </x:c>
      <x:c r="F94" s="46" t="str">
        <x:v>Green Valley Homes</x:v>
      </x:c>
      <x:c r="G94" s="72" t="str">
        <x:v>Deposit received</x:v>
      </x:c>
      <x:c r="H94" s="54" t="n">
        <x:v>6487</x:v>
      </x:c>
      <x:c r="I94" s="46" t="str">
        <x:v>Paid</x:v>
      </x:c>
      <x:c r="J94" s="46" t="str">
        <x:v>INV-41073</x:v>
      </x:c>
      <x:c r="K94" s="56" t="n">
        <x:f>IF(D94="Revenue",H94,0)</x:f>
        <x:v>6487</x:v>
      </x:c>
      <x:c r="L94" s="56" t="n">
        <x:f>IF(D94="Expense",H94,0)</x:f>
        <x:v>0</x:v>
      </x:c>
      <x:c r="M94" s="56" t="n">
        <x:f>K94-L94</x:f>
        <x:v>6487</x:v>
      </x:c>
      <x:c r="N94" s="48" t="str">
        <x:f>IF(OR(D94="",E94="",H94&lt;=0),"Yes",IF(AND(D94="Revenue",I94=""),"Yes","No"))</x:f>
        <x:v>No</x:v>
      </x:c>
      <x:c r="O94" s="72" t="str"/>
    </x:row>
    <x:row r="95">
      <x:c r="A95" s="58" t="n">
        <x:v>46139</x:v>
      </x:c>
      <x:c r="B95" s="52" t="n">
        <x:f>DATE(YEAR(A95),MONTH(A95),1)</x:f>
        <x:v>46113</x:v>
      </x:c>
      <x:c r="C95" s="46" t="str">
        <x:v>TX-1076</x:v>
      </x:c>
      <x:c r="D95" s="46" t="str">
        <x:v>Revenue</x:v>
      </x:c>
      <x:c r="E95" s="46" t="str">
        <x:v>Sales Revenue</x:v>
      </x:c>
      <x:c r="F95" s="46" t="str">
        <x:v>Redstone Apartments</x:v>
      </x:c>
      <x:c r="G95" s="72" t="str">
        <x:v>Deposit received</x:v>
      </x:c>
      <x:c r="H95" s="54" t="n">
        <x:v>1131</x:v>
      </x:c>
      <x:c r="I95" s="46" t="str">
        <x:v>Unpaid</x:v>
      </x:c>
      <x:c r="J95" s="46" t="str">
        <x:v>INV-41076</x:v>
      </x:c>
      <x:c r="K95" s="56" t="n">
        <x:f>IF(D95="Revenue",H95,0)</x:f>
        <x:v>1131</x:v>
      </x:c>
      <x:c r="L95" s="56" t="n">
        <x:f>IF(D95="Expense",H95,0)</x:f>
        <x:v>0</x:v>
      </x:c>
      <x:c r="M95" s="56" t="n">
        <x:f>K95-L95</x:f>
        <x:v>1131</x:v>
      </x:c>
      <x:c r="N95" s="48" t="str">
        <x:f>IF(OR(D95="",E95="",H95&lt;=0),"Yes",IF(AND(D95="Revenue",I95=""),"Yes","No"))</x:f>
        <x:v>No</x:v>
      </x:c>
      <x:c r="O95" s="72" t="str">
        <x:v>Follow up on collection</x:v>
      </x:c>
    </x:row>
    <x:row r="96">
      <x:c r="A96" s="58" t="n">
        <x:v>46143</x:v>
      </x:c>
      <x:c r="B96" s="52" t="n">
        <x:f>DATE(YEAR(A96),MONTH(A96),1)</x:f>
        <x:v>46143</x:v>
      </x:c>
      <x:c r="C96" s="46" t="str">
        <x:v>TX-1099</x:v>
      </x:c>
      <x:c r="D96" s="46" t="str">
        <x:v>Revenue</x:v>
      </x:c>
      <x:c r="E96" s="46" t="str">
        <x:v>Sales Revenue</x:v>
      </x:c>
      <x:c r="F96" s="46" t="str">
        <x:v>Flatirons Property Mgmt</x:v>
      </x:c>
      <x:c r="G96" s="72" t="str">
        <x:v>Project milestone</x:v>
      </x:c>
      <x:c r="H96" s="54" t="n">
        <x:v>1549</x:v>
      </x:c>
      <x:c r="I96" s="46" t="str">
        <x:v>Paid</x:v>
      </x:c>
      <x:c r="J96" s="46" t="str">
        <x:v>INV-51099</x:v>
      </x:c>
      <x:c r="K96" s="56" t="n">
        <x:f>IF(D96="Revenue",H96,0)</x:f>
        <x:v>1549</x:v>
      </x:c>
      <x:c r="L96" s="56" t="n">
        <x:f>IF(D96="Expense",H96,0)</x:f>
        <x:v>0</x:v>
      </x:c>
      <x:c r="M96" s="56" t="n">
        <x:f>K96-L96</x:f>
        <x:v>1549</x:v>
      </x:c>
      <x:c r="N96" s="48" t="str">
        <x:f>IF(OR(D96="",E96="",H96&lt;=0),"Yes",IF(AND(D96="Revenue",I96=""),"Yes","No"))</x:f>
        <x:v>No</x:v>
      </x:c>
      <x:c r="O96" s="72" t="str"/>
    </x:row>
    <x:row r="97">
      <x:c r="A97" s="58" t="n">
        <x:v>46146</x:v>
      </x:c>
      <x:c r="B97" s="52" t="n">
        <x:f>DATE(YEAR(A97),MONTH(A97),1)</x:f>
        <x:v>46143</x:v>
      </x:c>
      <x:c r="C97" s="46" t="str">
        <x:v>TX-1097</x:v>
      </x:c>
      <x:c r="D97" s="46" t="str">
        <x:v>Revenue</x:v>
      </x:c>
      <x:c r="E97" s="46" t="str">
        <x:v>Sales Revenue</x:v>
      </x:c>
      <x:c r="F97" s="46" t="str">
        <x:v>Green Valley Homes</x:v>
      </x:c>
      <x:c r="G97" s="72" t="str">
        <x:v>Final invoice</x:v>
      </x:c>
      <x:c r="H97" s="54" t="n">
        <x:v>4451</x:v>
      </x:c>
      <x:c r="I97" s="46" t="str">
        <x:v>Paid</x:v>
      </x:c>
      <x:c r="J97" s="46" t="str">
        <x:v>INV-51097</x:v>
      </x:c>
      <x:c r="K97" s="56" t="n">
        <x:f>IF(D97="Revenue",H97,0)</x:f>
        <x:v>4451</x:v>
      </x:c>
      <x:c r="L97" s="56" t="n">
        <x:f>IF(D97="Expense",H97,0)</x:f>
        <x:v>0</x:v>
      </x:c>
      <x:c r="M97" s="56" t="n">
        <x:f>K97-L97</x:f>
        <x:v>4451</x:v>
      </x:c>
      <x:c r="N97" s="48" t="str">
        <x:f>IF(OR(D97="",E97="",H97&lt;=0),"Yes",IF(AND(D97="Revenue",I97=""),"Yes","No"))</x:f>
        <x:v>No</x:v>
      </x:c>
      <x:c r="O97" s="72" t="str"/>
    </x:row>
    <x:row r="98">
      <x:c r="A98" s="58" t="n">
        <x:v>46149</x:v>
      </x:c>
      <x:c r="B98" s="52" t="n">
        <x:f>DATE(YEAR(A98),MONTH(A98),1)</x:f>
        <x:v>46143</x:v>
      </x:c>
      <x:c r="C98" s="46" t="str">
        <x:v>TX-1102</x:v>
      </x:c>
      <x:c r="D98" s="46" t="str">
        <x:v>Revenue</x:v>
      </x:c>
      <x:c r="E98" s="46" t="str">
        <x:v>Sales Revenue</x:v>
      </x:c>
      <x:c r="F98" s="46" t="str">
        <x:v>Aspen Ridge HOA</x:v>
      </x:c>
      <x:c r="G98" s="72" t="str">
        <x:v>Final invoice</x:v>
      </x:c>
      <x:c r="H98" s="54" t="n">
        <x:v>8806</x:v>
      </x:c>
      <x:c r="I98" s="46" t="str">
        <x:v>Paid</x:v>
      </x:c>
      <x:c r="J98" s="46" t="str">
        <x:v>INV-51102</x:v>
      </x:c>
      <x:c r="K98" s="56" t="n">
        <x:f>IF(D98="Revenue",H98,0)</x:f>
        <x:v>8806</x:v>
      </x:c>
      <x:c r="L98" s="56" t="n">
        <x:f>IF(D98="Expense",H98,0)</x:f>
        <x:v>0</x:v>
      </x:c>
      <x:c r="M98" s="56" t="n">
        <x:f>K98-L98</x:f>
        <x:v>8806</x:v>
      </x:c>
      <x:c r="N98" s="48" t="str">
        <x:f>IF(OR(D98="",E98="",H98&lt;=0),"Yes",IF(AND(D98="Revenue",I98=""),"Yes","No"))</x:f>
        <x:v>No</x:v>
      </x:c>
      <x:c r="O98" s="72" t="str"/>
    </x:row>
    <x:row r="99">
      <x:c r="A99" s="58" t="n">
        <x:v>46150</x:v>
      </x:c>
      <x:c r="B99" s="52" t="n">
        <x:f>DATE(YEAR(A99),MONTH(A99),1)</x:f>
        <x:v>46143</x:v>
      </x:c>
      <x:c r="C99" s="46" t="str">
        <x:v>TX-1100</x:v>
      </x:c>
      <x:c r="D99" s="46" t="str">
        <x:v>Revenue</x:v>
      </x:c>
      <x:c r="E99" s="46" t="str">
        <x:v>Sales Revenue</x:v>
      </x:c>
      <x:c r="F99" s="46" t="str">
        <x:v>Aspen Ridge HOA</x:v>
      </x:c>
      <x:c r="G99" s="72" t="str">
        <x:v>Final invoice</x:v>
      </x:c>
      <x:c r="H99" s="54" t="n">
        <x:v>3316</x:v>
      </x:c>
      <x:c r="I99" s="46" t="str">
        <x:v>Paid</x:v>
      </x:c>
      <x:c r="J99" s="46" t="str">
        <x:v>INV-51100</x:v>
      </x:c>
      <x:c r="K99" s="56" t="n">
        <x:f>IF(D99="Revenue",H99,0)</x:f>
        <x:v>3316</x:v>
      </x:c>
      <x:c r="L99" s="56" t="n">
        <x:f>IF(D99="Expense",H99,0)</x:f>
        <x:v>0</x:v>
      </x:c>
      <x:c r="M99" s="56" t="n">
        <x:f>K99-L99</x:f>
        <x:v>3316</x:v>
      </x:c>
      <x:c r="N99" s="48" t="str">
        <x:f>IF(OR(D99="",E99="",H99&lt;=0),"Yes",IF(AND(D99="Revenue",I99=""),"Yes","No"))</x:f>
        <x:v>No</x:v>
      </x:c>
      <x:c r="O99" s="72" t="str"/>
    </x:row>
    <x:row r="100">
      <x:c r="A100" s="58" t="n">
        <x:v>46153</x:v>
      </x:c>
      <x:c r="B100" s="52" t="n">
        <x:f>DATE(YEAR(A100),MONTH(A100),1)</x:f>
        <x:v>46143</x:v>
      </x:c>
      <x:c r="C100" s="46" t="str">
        <x:v>TX-1095</x:v>
      </x:c>
      <x:c r="D100" s="46" t="str">
        <x:v>Revenue</x:v>
      </x:c>
      <x:c r="E100" s="46" t="str">
        <x:v>Sales Revenue</x:v>
      </x:c>
      <x:c r="F100" s="46" t="str">
        <x:v>Flatirons Property Mgmt</x:v>
      </x:c>
      <x:c r="G100" s="72" t="str">
        <x:v>Monthly service</x:v>
      </x:c>
      <x:c r="H100" s="54" t="n">
        <x:v>8395</x:v>
      </x:c>
      <x:c r="I100" s="46" t="str">
        <x:v>Paid</x:v>
      </x:c>
      <x:c r="J100" s="46" t="str">
        <x:v>INV-51095</x:v>
      </x:c>
      <x:c r="K100" s="56" t="n">
        <x:f>IF(D100="Revenue",H100,0)</x:f>
        <x:v>8395</x:v>
      </x:c>
      <x:c r="L100" s="56" t="n">
        <x:f>IF(D100="Expense",H100,0)</x:f>
        <x:v>0</x:v>
      </x:c>
      <x:c r="M100" s="56" t="n">
        <x:f>K100-L100</x:f>
        <x:v>8395</x:v>
      </x:c>
      <x:c r="N100" s="48" t="str">
        <x:f>IF(OR(D100="",E100="",H100&lt;=0),"Yes",IF(AND(D100="Revenue",I100=""),"Yes","No"))</x:f>
        <x:v>No</x:v>
      </x:c>
      <x:c r="O100" s="72" t="str"/>
    </x:row>
    <x:row r="101">
      <x:c r="A101" s="58" t="n">
        <x:v>46153</x:v>
      </x:c>
      <x:c r="B101" s="52" t="n">
        <x:f>DATE(YEAR(A101),MONTH(A101),1)</x:f>
        <x:v>46143</x:v>
      </x:c>
      <x:c r="C101" s="46" t="str">
        <x:v>TX-1109</x:v>
      </x:c>
      <x:c r="D101" s="46" t="str">
        <x:v>Expense</x:v>
      </x:c>
      <x:c r="E101" s="46" t="str">
        <x:v>Professional Fees</x:v>
      </x:c>
      <x:c r="F101" s="46" t="str"/>
      <x:c r="G101" s="72" t="str">
        <x:v>Job-related purchase</x:v>
      </x:c>
      <x:c r="H101" s="54" t="n">
        <x:v>260</x:v>
      </x:c>
      <x:c r="I101" s="46" t="str">
        <x:v>Paid</x:v>
      </x:c>
      <x:c r="J101" s="46" t="str">
        <x:v>REF-1109</x:v>
      </x:c>
      <x:c r="K101" s="56" t="n">
        <x:f>IF(D101="Revenue",H101,0)</x:f>
        <x:v>0</x:v>
      </x:c>
      <x:c r="L101" s="56" t="n">
        <x:f>IF(D101="Expense",H101,0)</x:f>
        <x:v>260</x:v>
      </x:c>
      <x:c r="M101" s="56" t="n">
        <x:f>K101-L101</x:f>
        <x:v>-260</x:v>
      </x:c>
      <x:c r="N101" s="48" t="str">
        <x:f>IF(OR(D101="",E101="",H101&lt;=0),"Yes",IF(AND(D101="Revenue",I101=""),"Yes","No"))</x:f>
        <x:v>No</x:v>
      </x:c>
      <x:c r="O101" s="72" t="str"/>
    </x:row>
    <x:row r="102">
      <x:c r="A102" s="58" t="n">
        <x:v>46157</x:v>
      </x:c>
      <x:c r="B102" s="52" t="n">
        <x:f>DATE(YEAR(A102),MONTH(A102),1)</x:f>
        <x:v>46143</x:v>
      </x:c>
      <x:c r="C102" s="46" t="str">
        <x:v>TX-1104</x:v>
      </x:c>
      <x:c r="D102" s="46" t="str">
        <x:v>Expense</x:v>
      </x:c>
      <x:c r="E102" s="46" t="str">
        <x:v>Other Expense</x:v>
      </x:c>
      <x:c r="F102" s="46" t="str"/>
      <x:c r="G102" s="72" t="str">
        <x:v>Operating expense</x:v>
      </x:c>
      <x:c r="H102" s="54" t="n">
        <x:v>960</x:v>
      </x:c>
      <x:c r="I102" s="46" t="str">
        <x:v>Paid</x:v>
      </x:c>
      <x:c r="J102" s="46" t="str">
        <x:v>REF-1104</x:v>
      </x:c>
      <x:c r="K102" s="56" t="n">
        <x:f>IF(D102="Revenue",H102,0)</x:f>
        <x:v>0</x:v>
      </x:c>
      <x:c r="L102" s="56" t="n">
        <x:f>IF(D102="Expense",H102,0)</x:f>
        <x:v>960</x:v>
      </x:c>
      <x:c r="M102" s="56" t="n">
        <x:f>K102-L102</x:f>
        <x:v>-960</x:v>
      </x:c>
      <x:c r="N102" s="48" t="str">
        <x:f>IF(OR(D102="",E102="",H102&lt;=0),"Yes",IF(AND(D102="Revenue",I102=""),"Yes","No"))</x:f>
        <x:v>No</x:v>
      </x:c>
      <x:c r="O102" s="72" t="str"/>
    </x:row>
    <x:row r="103">
      <x:c r="A103" s="58" t="n">
        <x:v>46158</x:v>
      </x:c>
      <x:c r="B103" s="52" t="n">
        <x:f>DATE(YEAR(A103),MONTH(A103),1)</x:f>
        <x:v>46143</x:v>
      </x:c>
      <x:c r="C103" s="46" t="str">
        <x:v>TX-1105</x:v>
      </x:c>
      <x:c r="D103" s="46" t="str">
        <x:v>Expense</x:v>
      </x:c>
      <x:c r="E103" s="46" t="str">
        <x:v>Subcontractors</x:v>
      </x:c>
      <x:c r="F103" s="46" t="str"/>
      <x:c r="G103" s="72" t="str">
        <x:v>Monthly bill</x:v>
      </x:c>
      <x:c r="H103" s="54" t="n">
        <x:v>482</x:v>
      </x:c>
      <x:c r="I103" s="46" t="str">
        <x:v>Paid</x:v>
      </x:c>
      <x:c r="J103" s="46" t="str">
        <x:v>REF-1105</x:v>
      </x:c>
      <x:c r="K103" s="56" t="n">
        <x:f>IF(D103="Revenue",H103,0)</x:f>
        <x:v>0</x:v>
      </x:c>
      <x:c r="L103" s="56" t="n">
        <x:f>IF(D103="Expense",H103,0)</x:f>
        <x:v>482</x:v>
      </x:c>
      <x:c r="M103" s="56" t="n">
        <x:f>K103-L103</x:f>
        <x:v>-482</x:v>
      </x:c>
      <x:c r="N103" s="48" t="str">
        <x:f>IF(OR(D103="",E103="",H103&lt;=0),"Yes",IF(AND(D103="Revenue",I103=""),"Yes","No"))</x:f>
        <x:v>No</x:v>
      </x:c>
      <x:c r="O103" s="72" t="str"/>
    </x:row>
    <x:row r="104">
      <x:c r="A104" s="58" t="n">
        <x:v>46158</x:v>
      </x:c>
      <x:c r="B104" s="52" t="n">
        <x:f>DATE(YEAR(A104),MONTH(A104),1)</x:f>
        <x:v>46143</x:v>
      </x:c>
      <x:c r="C104" s="46" t="str">
        <x:v>TX-1113</x:v>
      </x:c>
      <x:c r="D104" s="46" t="str">
        <x:v>Expense</x:v>
      </x:c>
      <x:c r="E104" s="46" t="str">
        <x:v>Insurance</x:v>
      </x:c>
      <x:c r="F104" s="46" t="str"/>
      <x:c r="G104" s="72" t="str">
        <x:v>Vendor payment</x:v>
      </x:c>
      <x:c r="H104" s="54" t="n">
        <x:v>354</x:v>
      </x:c>
      <x:c r="I104" s="46" t="str">
        <x:v>Paid</x:v>
      </x:c>
      <x:c r="J104" s="46" t="str">
        <x:v>REF-1113</x:v>
      </x:c>
      <x:c r="K104" s="56" t="n">
        <x:f>IF(D104="Revenue",H104,0)</x:f>
        <x:v>0</x:v>
      </x:c>
      <x:c r="L104" s="56" t="n">
        <x:f>IF(D104="Expense",H104,0)</x:f>
        <x:v>354</x:v>
      </x:c>
      <x:c r="M104" s="56" t="n">
        <x:f>K104-L104</x:f>
        <x:v>-354</x:v>
      </x:c>
      <x:c r="N104" s="48" t="str">
        <x:f>IF(OR(D104="",E104="",H104&lt;=0),"Yes",IF(AND(D104="Revenue",I104=""),"Yes","No"))</x:f>
        <x:v>No</x:v>
      </x:c>
      <x:c r="O104" s="72" t="str"/>
    </x:row>
    <x:row r="105">
      <x:c r="A105" s="58" t="n">
        <x:v>46161</x:v>
      </x:c>
      <x:c r="B105" s="52" t="n">
        <x:f>DATE(YEAR(A105),MONTH(A105),1)</x:f>
        <x:v>46143</x:v>
      </x:c>
      <x:c r="C105" s="46" t="str">
        <x:v>TX-1094</x:v>
      </x:c>
      <x:c r="D105" s="46" t="str">
        <x:v>Revenue</x:v>
      </x:c>
      <x:c r="E105" s="46" t="str">
        <x:v>Sales Revenue</x:v>
      </x:c>
      <x:c r="F105" s="46" t="str">
        <x:v>Flatirons Property Mgmt</x:v>
      </x:c>
      <x:c r="G105" s="72" t="str">
        <x:v>Project milestone</x:v>
      </x:c>
      <x:c r="H105" s="54" t="n">
        <x:v>6318</x:v>
      </x:c>
      <x:c r="I105" s="46" t="str">
        <x:v>Paid</x:v>
      </x:c>
      <x:c r="J105" s="46" t="str">
        <x:v>INV-51094</x:v>
      </x:c>
      <x:c r="K105" s="56" t="n">
        <x:f>IF(D105="Revenue",H105,0)</x:f>
        <x:v>6318</x:v>
      </x:c>
      <x:c r="L105" s="56" t="n">
        <x:f>IF(D105="Expense",H105,0)</x:f>
        <x:v>0</x:v>
      </x:c>
      <x:c r="M105" s="56" t="n">
        <x:f>K105-L105</x:f>
        <x:v>6318</x:v>
      </x:c>
      <x:c r="N105" s="48" t="str">
        <x:f>IF(OR(D105="",E105="",H105&lt;=0),"Yes",IF(AND(D105="Revenue",I105=""),"Yes","No"))</x:f>
        <x:v>No</x:v>
      </x:c>
      <x:c r="O105" s="72" t="str"/>
    </x:row>
    <x:row r="106">
      <x:c r="A106" s="58" t="n">
        <x:v>46161</x:v>
      </x:c>
      <x:c r="B106" s="52" t="n">
        <x:f>DATE(YEAR(A106),MONTH(A106),1)</x:f>
        <x:v>46143</x:v>
      </x:c>
      <x:c r="C106" s="46" t="str">
        <x:v>TX-1108</x:v>
      </x:c>
      <x:c r="D106" s="46" t="str">
        <x:v>Expense</x:v>
      </x:c>
      <x:c r="E106" s="46" t="str">
        <x:v>Equipment</x:v>
      </x:c>
      <x:c r="F106" s="46" t="str"/>
      <x:c r="G106" s="72" t="str">
        <x:v>Job-related purchase</x:v>
      </x:c>
      <x:c r="H106" s="54" t="n">
        <x:v>643</x:v>
      </x:c>
      <x:c r="I106" s="46" t="str">
        <x:v>Paid</x:v>
      </x:c>
      <x:c r="J106" s="46" t="str">
        <x:v>REF-1108</x:v>
      </x:c>
      <x:c r="K106" s="56" t="n">
        <x:f>IF(D106="Revenue",H106,0)</x:f>
        <x:v>0</x:v>
      </x:c>
      <x:c r="L106" s="56" t="n">
        <x:f>IF(D106="Expense",H106,0)</x:f>
        <x:v>643</x:v>
      </x:c>
      <x:c r="M106" s="56" t="n">
        <x:f>K106-L106</x:f>
        <x:v>-643</x:v>
      </x:c>
      <x:c r="N106" s="48" t="str">
        <x:f>IF(OR(D106="",E106="",H106&lt;=0),"Yes",IF(AND(D106="Revenue",I106=""),"Yes","No"))</x:f>
        <x:v>No</x:v>
      </x:c>
      <x:c r="O106" s="72" t="str"/>
    </x:row>
    <x:row r="107">
      <x:c r="A107" s="58" t="n">
        <x:v>46161</x:v>
      </x:c>
      <x:c r="B107" s="52" t="n">
        <x:f>DATE(YEAR(A107),MONTH(A107),1)</x:f>
        <x:v>46143</x:v>
      </x:c>
      <x:c r="C107" s="46" t="str">
        <x:v>TX-1115</x:v>
      </x:c>
      <x:c r="D107" s="46" t="str">
        <x:v>Expense</x:v>
      </x:c>
      <x:c r="E107" s="46" t="str">
        <x:v>Subcontractors</x:v>
      </x:c>
      <x:c r="F107" s="46" t="str"/>
      <x:c r="G107" s="72" t="str">
        <x:v>Vendor payment</x:v>
      </x:c>
      <x:c r="H107" s="54" t="n">
        <x:v>229</x:v>
      </x:c>
      <x:c r="I107" s="46" t="str">
        <x:v>Paid</x:v>
      </x:c>
      <x:c r="J107" s="46" t="str">
        <x:v>REF-1115</x:v>
      </x:c>
      <x:c r="K107" s="56" t="n">
        <x:f>IF(D107="Revenue",H107,0)</x:f>
        <x:v>0</x:v>
      </x:c>
      <x:c r="L107" s="56" t="n">
        <x:f>IF(D107="Expense",H107,0)</x:f>
        <x:v>229</x:v>
      </x:c>
      <x:c r="M107" s="56" t="n">
        <x:f>K107-L107</x:f>
        <x:v>-229</x:v>
      </x:c>
      <x:c r="N107" s="48" t="str">
        <x:f>IF(OR(D107="",E107="",H107&lt;=0),"Yes",IF(AND(D107="Revenue",I107=""),"Yes","No"))</x:f>
        <x:v>No</x:v>
      </x:c>
      <x:c r="O107" s="72" t="str"/>
    </x:row>
    <x:row r="108">
      <x:c r="A108" s="58" t="n">
        <x:v>46162</x:v>
      </x:c>
      <x:c r="B108" s="52" t="n">
        <x:f>DATE(YEAR(A108),MONTH(A108),1)</x:f>
        <x:v>46143</x:v>
      </x:c>
      <x:c r="C108" s="46" t="str">
        <x:v>TX-1098</x:v>
      </x:c>
      <x:c r="D108" s="46" t="str">
        <x:v>Revenue</x:v>
      </x:c>
      <x:c r="E108" s="46" t="str">
        <x:v>Sales Revenue</x:v>
      </x:c>
      <x:c r="F108" s="46" t="str">
        <x:v>Green Valley Homes</x:v>
      </x:c>
      <x:c r="G108" s="72" t="str">
        <x:v>Project milestone</x:v>
      </x:c>
      <x:c r="H108" s="54" t="n">
        <x:v>6051</x:v>
      </x:c>
      <x:c r="I108" s="46" t="str">
        <x:v>Paid</x:v>
      </x:c>
      <x:c r="J108" s="46" t="str">
        <x:v>INV-51098</x:v>
      </x:c>
      <x:c r="K108" s="56" t="n">
        <x:f>IF(D108="Revenue",H108,0)</x:f>
        <x:v>6051</x:v>
      </x:c>
      <x:c r="L108" s="56" t="n">
        <x:f>IF(D108="Expense",H108,0)</x:f>
        <x:v>0</x:v>
      </x:c>
      <x:c r="M108" s="56" t="n">
        <x:f>K108-L108</x:f>
        <x:v>6051</x:v>
      </x:c>
      <x:c r="N108" s="48" t="str">
        <x:f>IF(OR(D108="",E108="",H108&lt;=0),"Yes",IF(AND(D108="Revenue",I108=""),"Yes","No"))</x:f>
        <x:v>No</x:v>
      </x:c>
      <x:c r="O108" s="72" t="str"/>
    </x:row>
    <x:row r="109">
      <x:c r="A109" s="58" t="n">
        <x:v>46162</x:v>
      </x:c>
      <x:c r="B109" s="52" t="n">
        <x:f>DATE(YEAR(A109),MONTH(A109),1)</x:f>
        <x:v>46143</x:v>
      </x:c>
      <x:c r="C109" s="46" t="str">
        <x:v>TX-1101</x:v>
      </x:c>
      <x:c r="D109" s="46" t="str">
        <x:v>Revenue</x:v>
      </x:c>
      <x:c r="E109" s="46" t="str">
        <x:v>Sales Revenue</x:v>
      </x:c>
      <x:c r="F109" s="46" t="str">
        <x:v>Aspen Ridge HOA</x:v>
      </x:c>
      <x:c r="G109" s="72" t="str">
        <x:v>Project milestone</x:v>
      </x:c>
      <x:c r="H109" s="54" t="n">
        <x:v>3213</x:v>
      </x:c>
      <x:c r="I109" s="46" t="str">
        <x:v>Paid</x:v>
      </x:c>
      <x:c r="J109" s="46" t="str">
        <x:v>INV-51101</x:v>
      </x:c>
      <x:c r="K109" s="56" t="n">
        <x:f>IF(D109="Revenue",H109,0)</x:f>
        <x:v>3213</x:v>
      </x:c>
      <x:c r="L109" s="56" t="n">
        <x:f>IF(D109="Expense",H109,0)</x:f>
        <x:v>0</x:v>
      </x:c>
      <x:c r="M109" s="56" t="n">
        <x:f>K109-L109</x:f>
        <x:v>3213</x:v>
      </x:c>
      <x:c r="N109" s="48" t="str">
        <x:f>IF(OR(D109="",E109="",H109&lt;=0),"Yes",IF(AND(D109="Revenue",I109=""),"Yes","No"))</x:f>
        <x:v>No</x:v>
      </x:c>
      <x:c r="O109" s="72" t="str"/>
    </x:row>
    <x:row r="110">
      <x:c r="A110" s="58" t="n">
        <x:v>46162</x:v>
      </x:c>
      <x:c r="B110" s="52" t="n">
        <x:f>DATE(YEAR(A110),MONTH(A110),1)</x:f>
        <x:v>46143</x:v>
      </x:c>
      <x:c r="C110" s="46" t="str">
        <x:v>TX-1106</x:v>
      </x:c>
      <x:c r="D110" s="46" t="str">
        <x:v>Expense</x:v>
      </x:c>
      <x:c r="E110" s="46" t="str">
        <x:v>Payroll</x:v>
      </x:c>
      <x:c r="F110" s="46" t="str"/>
      <x:c r="G110" s="72" t="str">
        <x:v>Job-related purchase</x:v>
      </x:c>
      <x:c r="H110" s="54" t="n">
        <x:v>406</x:v>
      </x:c>
      <x:c r="I110" s="46" t="str">
        <x:v>Paid</x:v>
      </x:c>
      <x:c r="J110" s="46" t="str">
        <x:v>REF-1106</x:v>
      </x:c>
      <x:c r="K110" s="56" t="n">
        <x:f>IF(D110="Revenue",H110,0)</x:f>
        <x:v>0</x:v>
      </x:c>
      <x:c r="L110" s="56" t="n">
        <x:f>IF(D110="Expense",H110,0)</x:f>
        <x:v>406</x:v>
      </x:c>
      <x:c r="M110" s="56" t="n">
        <x:f>K110-L110</x:f>
        <x:v>-406</x:v>
      </x:c>
      <x:c r="N110" s="48" t="str">
        <x:f>IF(OR(D110="",E110="",H110&lt;=0),"Yes",IF(AND(D110="Revenue",I110=""),"Yes","No"))</x:f>
        <x:v>No</x:v>
      </x:c>
      <x:c r="O110" s="72" t="str"/>
    </x:row>
    <x:row r="111">
      <x:c r="A111" s="58" t="n">
        <x:v>46163</x:v>
      </x:c>
      <x:c r="B111" s="52" t="n">
        <x:f>DATE(YEAR(A111),MONTH(A111),1)</x:f>
        <x:v>46143</x:v>
      </x:c>
      <x:c r="C111" s="46" t="str">
        <x:v>TX-1103</x:v>
      </x:c>
      <x:c r="D111" s="46" t="str">
        <x:v>Expense</x:v>
      </x:c>
      <x:c r="E111" s="46" t="str">
        <x:v>Subcontractors</x:v>
      </x:c>
      <x:c r="F111" s="46" t="str"/>
      <x:c r="G111" s="72" t="str">
        <x:v>Job-related purchase</x:v>
      </x:c>
      <x:c r="H111" s="54" t="n">
        <x:v>1463</x:v>
      </x:c>
      <x:c r="I111" s="46" t="str">
        <x:v>Paid</x:v>
      </x:c>
      <x:c r="J111" s="46" t="str">
        <x:v>REF-1103</x:v>
      </x:c>
      <x:c r="K111" s="56" t="n">
        <x:f>IF(D111="Revenue",H111,0)</x:f>
        <x:v>0</x:v>
      </x:c>
      <x:c r="L111" s="56" t="n">
        <x:f>IF(D111="Expense",H111,0)</x:f>
        <x:v>1463</x:v>
      </x:c>
      <x:c r="M111" s="56" t="n">
        <x:f>K111-L111</x:f>
        <x:v>-1463</x:v>
      </x:c>
      <x:c r="N111" s="48" t="str">
        <x:f>IF(OR(D111="",E111="",H111&lt;=0),"Yes",IF(AND(D111="Revenue",I111=""),"Yes","No"))</x:f>
        <x:v>No</x:v>
      </x:c>
      <x:c r="O111" s="72" t="str"/>
    </x:row>
    <x:row r="112">
      <x:c r="A112" s="58" t="n">
        <x:v>46164</x:v>
      </x:c>
      <x:c r="B112" s="52" t="n">
        <x:f>DATE(YEAR(A112),MONTH(A112),1)</x:f>
        <x:v>46143</x:v>
      </x:c>
      <x:c r="C112" s="46" t="str">
        <x:v>TX-1096</x:v>
      </x:c>
      <x:c r="D112" s="46" t="str">
        <x:v>Revenue</x:v>
      </x:c>
      <x:c r="E112" s="46" t="str">
        <x:v>Sales Revenue</x:v>
      </x:c>
      <x:c r="F112" s="46" t="str">
        <x:v>Aspen Ridge HOA</x:v>
      </x:c>
      <x:c r="G112" s="72" t="str">
        <x:v>Deposit received</x:v>
      </x:c>
      <x:c r="H112" s="54" t="n">
        <x:v>4823</x:v>
      </x:c>
      <x:c r="I112" s="46" t="str">
        <x:v>Paid</x:v>
      </x:c>
      <x:c r="J112" s="46" t="str">
        <x:v>INV-51096</x:v>
      </x:c>
      <x:c r="K112" s="56" t="n">
        <x:f>IF(D112="Revenue",H112,0)</x:f>
        <x:v>4823</x:v>
      </x:c>
      <x:c r="L112" s="56" t="n">
        <x:f>IF(D112="Expense",H112,0)</x:f>
        <x:v>0</x:v>
      </x:c>
      <x:c r="M112" s="56" t="n">
        <x:f>K112-L112</x:f>
        <x:v>4823</x:v>
      </x:c>
      <x:c r="N112" s="48" t="str">
        <x:f>IF(OR(D112="",E112="",H112&lt;=0),"Yes",IF(AND(D112="Revenue",I112=""),"Yes","No"))</x:f>
        <x:v>No</x:v>
      </x:c>
      <x:c r="O112" s="72" t="str"/>
    </x:row>
    <x:row r="113">
      <x:c r="A113" s="58" t="n">
        <x:v>46164</x:v>
      </x:c>
      <x:c r="B113" s="52" t="n">
        <x:f>DATE(YEAR(A113),MONTH(A113),1)</x:f>
        <x:v>46143</x:v>
      </x:c>
      <x:c r="C113" s="46" t="str">
        <x:v>TX-1112</x:v>
      </x:c>
      <x:c r="D113" s="46" t="str">
        <x:v>Expense</x:v>
      </x:c>
      <x:c r="E113" s="46" t="str">
        <x:v>Other Expense</x:v>
      </x:c>
      <x:c r="F113" s="46" t="str"/>
      <x:c r="G113" s="72" t="str">
        <x:v>Vendor payment</x:v>
      </x:c>
      <x:c r="H113" s="54" t="n">
        <x:v>2280</x:v>
      </x:c>
      <x:c r="I113" s="46" t="str">
        <x:v>Paid</x:v>
      </x:c>
      <x:c r="J113" s="46" t="str">
        <x:v>REF-1112</x:v>
      </x:c>
      <x:c r="K113" s="56" t="n">
        <x:f>IF(D113="Revenue",H113,0)</x:f>
        <x:v>0</x:v>
      </x:c>
      <x:c r="L113" s="56" t="n">
        <x:f>IF(D113="Expense",H113,0)</x:f>
        <x:v>2280</x:v>
      </x:c>
      <x:c r="M113" s="56" t="n">
        <x:f>K113-L113</x:f>
        <x:v>-2280</x:v>
      </x:c>
      <x:c r="N113" s="48" t="str">
        <x:f>IF(OR(D113="",E113="",H113&lt;=0),"Yes",IF(AND(D113="Revenue",I113=""),"Yes","No"))</x:f>
        <x:v>No</x:v>
      </x:c>
      <x:c r="O113" s="72" t="str"/>
    </x:row>
    <x:row r="114">
      <x:c r="A114" s="58" t="n">
        <x:v>46165</x:v>
      </x:c>
      <x:c r="B114" s="52" t="n">
        <x:f>DATE(YEAR(A114),MONTH(A114),1)</x:f>
        <x:v>46143</x:v>
      </x:c>
      <x:c r="C114" s="46" t="str">
        <x:v>TX-1114</x:v>
      </x:c>
      <x:c r="D114" s="46" t="str">
        <x:v>Expense</x:v>
      </x:c>
      <x:c r="E114" s="46" t="str">
        <x:v>Professional Fees</x:v>
      </x:c>
      <x:c r="F114" s="46" t="str"/>
      <x:c r="G114" s="72" t="str">
        <x:v>Job-related purchase</x:v>
      </x:c>
      <x:c r="H114" s="54" t="n">
        <x:v>1020</x:v>
      </x:c>
      <x:c r="I114" s="46" t="str">
        <x:v>Paid</x:v>
      </x:c>
      <x:c r="J114" s="46" t="str">
        <x:v>REF-1114</x:v>
      </x:c>
      <x:c r="K114" s="56" t="n">
        <x:f>IF(D114="Revenue",H114,0)</x:f>
        <x:v>0</x:v>
      </x:c>
      <x:c r="L114" s="56" t="n">
        <x:f>IF(D114="Expense",H114,0)</x:f>
        <x:v>1020</x:v>
      </x:c>
      <x:c r="M114" s="56" t="n">
        <x:f>K114-L114</x:f>
        <x:v>-1020</x:v>
      </x:c>
      <x:c r="N114" s="48" t="str">
        <x:f>IF(OR(D114="",E114="",H114&lt;=0),"Yes",IF(AND(D114="Revenue",I114=""),"Yes","No"))</x:f>
        <x:v>No</x:v>
      </x:c>
      <x:c r="O114" s="72" t="str"/>
    </x:row>
    <x:row r="115">
      <x:c r="A115" s="58" t="n">
        <x:v>46166</x:v>
      </x:c>
      <x:c r="B115" s="52" t="n">
        <x:f>DATE(YEAR(A115),MONTH(A115),1)</x:f>
        <x:v>46143</x:v>
      </x:c>
      <x:c r="C115" s="46" t="str">
        <x:v>TX-1107</x:v>
      </x:c>
      <x:c r="D115" s="46" t="str">
        <x:v>Expense</x:v>
      </x:c>
      <x:c r="E115" s="46" t="str">
        <x:v>Taxes &amp; Licenses</x:v>
      </x:c>
      <x:c r="F115" s="46" t="str"/>
      <x:c r="G115" s="72" t="str">
        <x:v>Operating expense</x:v>
      </x:c>
      <x:c r="H115" s="54" t="n">
        <x:v>436</x:v>
      </x:c>
      <x:c r="I115" s="46" t="str">
        <x:v>Paid</x:v>
      </x:c>
      <x:c r="J115" s="46" t="str">
        <x:v>REF-1107</x:v>
      </x:c>
      <x:c r="K115" s="56" t="n">
        <x:f>IF(D115="Revenue",H115,0)</x:f>
        <x:v>0</x:v>
      </x:c>
      <x:c r="L115" s="56" t="n">
        <x:f>IF(D115="Expense",H115,0)</x:f>
        <x:v>436</x:v>
      </x:c>
      <x:c r="M115" s="56" t="n">
        <x:f>K115-L115</x:f>
        <x:v>-436</x:v>
      </x:c>
      <x:c r="N115" s="48" t="str">
        <x:f>IF(OR(D115="",E115="",H115&lt;=0),"Yes",IF(AND(D115="Revenue",I115=""),"Yes","No"))</x:f>
        <x:v>No</x:v>
      </x:c>
      <x:c r="O115" s="72" t="str"/>
    </x:row>
    <x:row r="116">
      <x:c r="A116" s="58" t="n">
        <x:v>46167</x:v>
      </x:c>
      <x:c r="B116" s="52" t="n">
        <x:f>DATE(YEAR(A116),MONTH(A116),1)</x:f>
        <x:v>46143</x:v>
      </x:c>
      <x:c r="C116" s="46" t="str">
        <x:v>TX-1111</x:v>
      </x:c>
      <x:c r="D116" s="46" t="str">
        <x:v>Expense</x:v>
      </x:c>
      <x:c r="E116" s="46" t="str">
        <x:v>Rent</x:v>
      </x:c>
      <x:c r="F116" s="46" t="str"/>
      <x:c r="G116" s="72" t="str">
        <x:v>Job-related purchase</x:v>
      </x:c>
      <x:c r="H116" s="54" t="n">
        <x:v>145</x:v>
      </x:c>
      <x:c r="I116" s="46" t="str">
        <x:v>Paid</x:v>
      </x:c>
      <x:c r="J116" s="46" t="str">
        <x:v>REF-1111</x:v>
      </x:c>
      <x:c r="K116" s="56" t="n">
        <x:f>IF(D116="Revenue",H116,0)</x:f>
        <x:v>0</x:v>
      </x:c>
      <x:c r="L116" s="56" t="n">
        <x:f>IF(D116="Expense",H116,0)</x:f>
        <x:v>145</x:v>
      </x:c>
      <x:c r="M116" s="56" t="n">
        <x:f>K116-L116</x:f>
        <x:v>-145</x:v>
      </x:c>
      <x:c r="N116" s="48" t="str">
        <x:f>IF(OR(D116="",E116="",H116&lt;=0),"Yes",IF(AND(D116="Revenue",I116=""),"Yes","No"))</x:f>
        <x:v>No</x:v>
      </x:c>
      <x:c r="O116" s="72" t="str"/>
    </x:row>
    <x:row r="117">
      <x:c r="A117" s="58" t="n">
        <x:v>46169</x:v>
      </x:c>
      <x:c r="B117" s="52" t="n">
        <x:f>DATE(YEAR(A117),MONTH(A117),1)</x:f>
        <x:v>46143</x:v>
      </x:c>
      <x:c r="C117" s="46" t="str">
        <x:v>TX-1110</x:v>
      </x:c>
      <x:c r="D117" s="46" t="str">
        <x:v>Expense</x:v>
      </x:c>
      <x:c r="E117" s="46" t="str">
        <x:v>Materials</x:v>
      </x:c>
      <x:c r="F117" s="46" t="str"/>
      <x:c r="G117" s="72" t="str">
        <x:v>Monthly bill</x:v>
      </x:c>
      <x:c r="H117" s="54" t="n">
        <x:v>1027</x:v>
      </x:c>
      <x:c r="I117" s="46" t="str">
        <x:v>Paid</x:v>
      </x:c>
      <x:c r="J117" s="46" t="str">
        <x:v>REF-1110</x:v>
      </x:c>
      <x:c r="K117" s="56" t="n">
        <x:f>IF(D117="Revenue",H117,0)</x:f>
        <x:v>0</x:v>
      </x:c>
      <x:c r="L117" s="56" t="n">
        <x:f>IF(D117="Expense",H117,0)</x:f>
        <x:v>1027</x:v>
      </x:c>
      <x:c r="M117" s="56" t="n">
        <x:f>K117-L117</x:f>
        <x:v>-1027</x:v>
      </x:c>
      <x:c r="N117" s="48" t="str">
        <x:f>IF(OR(D117="",E117="",H117&lt;=0),"Yes",IF(AND(D117="Revenue",I117=""),"Yes","No"))</x:f>
        <x:v>No</x:v>
      </x:c>
      <x:c r="O117" s="72" t="str"/>
    </x:row>
    <x:row r="118">
      <x:c r="A118" s="58" t="n">
        <x:v>46174</x:v>
      </x:c>
      <x:c r="B118" s="52" t="n">
        <x:f>DATE(YEAR(A118),MONTH(A118),1)</x:f>
        <x:v>46174</x:v>
      </x:c>
      <x:c r="C118" s="46" t="str">
        <x:v>TX-1130</x:v>
      </x:c>
      <x:c r="D118" s="46" t="str">
        <x:v>Expense</x:v>
      </x:c>
      <x:c r="E118" s="46" t="str">
        <x:v>Meals</x:v>
      </x:c>
      <x:c r="F118" s="46" t="str"/>
      <x:c r="G118" s="72" t="str">
        <x:v>Vendor payment</x:v>
      </x:c>
      <x:c r="H118" s="54" t="n">
        <x:v>1003</x:v>
      </x:c>
      <x:c r="I118" s="46" t="str">
        <x:v>Paid</x:v>
      </x:c>
      <x:c r="J118" s="46" t="str">
        <x:v>REF-1130</x:v>
      </x:c>
      <x:c r="K118" s="56" t="n">
        <x:f>IF(D118="Revenue",H118,0)</x:f>
        <x:v>0</x:v>
      </x:c>
      <x:c r="L118" s="56" t="n">
        <x:f>IF(D118="Expense",H118,0)</x:f>
        <x:v>1003</x:v>
      </x:c>
      <x:c r="M118" s="56" t="n">
        <x:f>K118-L118</x:f>
        <x:v>-1003</x:v>
      </x:c>
      <x:c r="N118" s="48" t="str">
        <x:f>IF(OR(D118="",E118="",H118&lt;=0),"Yes",IF(AND(D118="Revenue",I118=""),"Yes","No"))</x:f>
        <x:v>No</x:v>
      </x:c>
      <x:c r="O118" s="72" t="str"/>
    </x:row>
    <x:row r="119">
      <x:c r="A119" s="58" t="n">
        <x:v>46174</x:v>
      </x:c>
      <x:c r="B119" s="52" t="n">
        <x:f>DATE(YEAR(A119),MONTH(A119),1)</x:f>
        <x:v>46174</x:v>
      </x:c>
      <x:c r="C119" s="46" t="str">
        <x:v>TX-1135</x:v>
      </x:c>
      <x:c r="D119" s="46" t="str">
        <x:v>Expense</x:v>
      </x:c>
      <x:c r="E119" s="46" t="str">
        <x:v>Insurance</x:v>
      </x:c>
      <x:c r="F119" s="46" t="str"/>
      <x:c r="G119" s="72" t="str">
        <x:v>Job-related purchase</x:v>
      </x:c>
      <x:c r="H119" s="54" t="n">
        <x:v>299</x:v>
      </x:c>
      <x:c r="I119" s="46" t="str">
        <x:v>Paid</x:v>
      </x:c>
      <x:c r="J119" s="46" t="str">
        <x:v>REF-1135</x:v>
      </x:c>
      <x:c r="K119" s="56" t="n">
        <x:f>IF(D119="Revenue",H119,0)</x:f>
        <x:v>0</x:v>
      </x:c>
      <x:c r="L119" s="56" t="n">
        <x:f>IF(D119="Expense",H119,0)</x:f>
        <x:v>299</x:v>
      </x:c>
      <x:c r="M119" s="56" t="n">
        <x:f>K119-L119</x:f>
        <x:v>-299</x:v>
      </x:c>
      <x:c r="N119" s="48" t="str">
        <x:f>IF(OR(D119="",E119="",H119&lt;=0),"Yes",IF(AND(D119="Revenue",I119=""),"Yes","No"))</x:f>
        <x:v>No</x:v>
      </x:c>
      <x:c r="O119" s="72" t="str"/>
    </x:row>
    <x:row r="120">
      <x:c r="A120" s="58" t="n">
        <x:v>46175</x:v>
      </x:c>
      <x:c r="B120" s="52" t="n">
        <x:f>DATE(YEAR(A120),MONTH(A120),1)</x:f>
        <x:v>46174</x:v>
      </x:c>
      <x:c r="C120" s="46" t="str">
        <x:v>TX-1117</x:v>
      </x:c>
      <x:c r="D120" s="46" t="str">
        <x:v>Revenue</x:v>
      </x:c>
      <x:c r="E120" s="46" t="str">
        <x:v>Sales Revenue</x:v>
      </x:c>
      <x:c r="F120" s="46" t="str">
        <x:v>Flatirons Property Mgmt</x:v>
      </x:c>
      <x:c r="G120" s="72" t="str">
        <x:v>Deposit received</x:v>
      </x:c>
      <x:c r="H120" s="54" t="n">
        <x:v>2593</x:v>
      </x:c>
      <x:c r="I120" s="46" t="str">
        <x:v>Paid</x:v>
      </x:c>
      <x:c r="J120" s="46" t="str">
        <x:v>INV-61117</x:v>
      </x:c>
      <x:c r="K120" s="56" t="n">
        <x:f>IF(D120="Revenue",H120,0)</x:f>
        <x:v>2593</x:v>
      </x:c>
      <x:c r="L120" s="56" t="n">
        <x:f>IF(D120="Expense",H120,0)</x:f>
        <x:v>0</x:v>
      </x:c>
      <x:c r="M120" s="56" t="n">
        <x:f>K120-L120</x:f>
        <x:v>2593</x:v>
      </x:c>
      <x:c r="N120" s="48" t="str">
        <x:f>IF(OR(D120="",E120="",H120&lt;=0),"Yes",IF(AND(D120="Revenue",I120=""),"Yes","No"))</x:f>
        <x:v>No</x:v>
      </x:c>
      <x:c r="O120" s="72" t="str"/>
    </x:row>
    <x:row r="121">
      <x:c r="A121" s="58" t="n">
        <x:v>46176</x:v>
      </x:c>
      <x:c r="B121" s="52" t="n">
        <x:f>DATE(YEAR(A121),MONTH(A121),1)</x:f>
        <x:v>46174</x:v>
      </x:c>
      <x:c r="C121" s="46" t="str">
        <x:v>TX-1125</x:v>
      </x:c>
      <x:c r="D121" s="46" t="str">
        <x:v>Revenue</x:v>
      </x:c>
      <x:c r="E121" s="46" t="str">
        <x:v>Sales Revenue</x:v>
      </x:c>
      <x:c r="F121" s="46" t="str">
        <x:v>Boulder Build Co.</x:v>
      </x:c>
      <x:c r="G121" s="72" t="str">
        <x:v>Project milestone</x:v>
      </x:c>
      <x:c r="H121" s="54" t="n">
        <x:v>4783</x:v>
      </x:c>
      <x:c r="I121" s="46" t="str">
        <x:v>Paid</x:v>
      </x:c>
      <x:c r="J121" s="46" t="str">
        <x:v>INV-61125</x:v>
      </x:c>
      <x:c r="K121" s="56" t="n">
        <x:f>IF(D121="Revenue",H121,0)</x:f>
        <x:v>4783</x:v>
      </x:c>
      <x:c r="L121" s="56" t="n">
        <x:f>IF(D121="Expense",H121,0)</x:f>
        <x:v>0</x:v>
      </x:c>
      <x:c r="M121" s="56" t="n">
        <x:f>K121-L121</x:f>
        <x:v>4783</x:v>
      </x:c>
      <x:c r="N121" s="48" t="str">
        <x:f>IF(OR(D121="",E121="",H121&lt;=0),"Yes",IF(AND(D121="Revenue",I121=""),"Yes","No"))</x:f>
        <x:v>No</x:v>
      </x:c>
      <x:c r="O121" s="72" t="str"/>
    </x:row>
    <x:row r="122">
      <x:c r="A122" s="58" t="n">
        <x:v>46179</x:v>
      </x:c>
      <x:c r="B122" s="52" t="n">
        <x:f>DATE(YEAR(A122),MONTH(A122),1)</x:f>
        <x:v>46174</x:v>
      </x:c>
      <x:c r="C122" s="46" t="str">
        <x:v>TX-1127</x:v>
      </x:c>
      <x:c r="D122" s="46" t="str">
        <x:v>Expense</x:v>
      </x:c>
      <x:c r="E122" s="46" t="str">
        <x:v>Software</x:v>
      </x:c>
      <x:c r="F122" s="46" t="str"/>
      <x:c r="G122" s="72" t="str">
        <x:v>Vendor payment</x:v>
      </x:c>
      <x:c r="H122" s="54" t="n">
        <x:v>255</x:v>
      </x:c>
      <x:c r="I122" s="46" t="str">
        <x:v>Paid</x:v>
      </x:c>
      <x:c r="J122" s="46" t="str">
        <x:v>REF-1127</x:v>
      </x:c>
      <x:c r="K122" s="56" t="n">
        <x:f>IF(D122="Revenue",H122,0)</x:f>
        <x:v>0</x:v>
      </x:c>
      <x:c r="L122" s="56" t="n">
        <x:f>IF(D122="Expense",H122,0)</x:f>
        <x:v>255</x:v>
      </x:c>
      <x:c r="M122" s="56" t="n">
        <x:f>K122-L122</x:f>
        <x:v>-255</x:v>
      </x:c>
      <x:c r="N122" s="48" t="str">
        <x:f>IF(OR(D122="",E122="",H122&lt;=0),"Yes",IF(AND(D122="Revenue",I122=""),"Yes","No"))</x:f>
        <x:v>No</x:v>
      </x:c>
      <x:c r="O122" s="72" t="str"/>
    </x:row>
    <x:row r="123">
      <x:c r="A123" s="58" t="n">
        <x:v>46179</x:v>
      </x:c>
      <x:c r="B123" s="52" t="n">
        <x:f>DATE(YEAR(A123),MONTH(A123),1)</x:f>
        <x:v>46174</x:v>
      </x:c>
      <x:c r="C123" s="46" t="str">
        <x:v>TX-1128</x:v>
      </x:c>
      <x:c r="D123" s="46" t="str">
        <x:v>Expense</x:v>
      </x:c>
      <x:c r="E123" s="46" t="str">
        <x:v>Payroll</x:v>
      </x:c>
      <x:c r="F123" s="46" t="str"/>
      <x:c r="G123" s="72" t="str">
        <x:v>Operating expense</x:v>
      </x:c>
      <x:c r="H123" s="54" t="n">
        <x:v>2257</x:v>
      </x:c>
      <x:c r="I123" s="46" t="str">
        <x:v>Paid</x:v>
      </x:c>
      <x:c r="J123" s="46" t="str">
        <x:v>REF-1128</x:v>
      </x:c>
      <x:c r="K123" s="56" t="n">
        <x:f>IF(D123="Revenue",H123,0)</x:f>
        <x:v>0</x:v>
      </x:c>
      <x:c r="L123" s="56" t="n">
        <x:f>IF(D123="Expense",H123,0)</x:f>
        <x:v>2257</x:v>
      </x:c>
      <x:c r="M123" s="56" t="n">
        <x:f>K123-L123</x:f>
        <x:v>-2257</x:v>
      </x:c>
      <x:c r="N123" s="48" t="str">
        <x:f>IF(OR(D123="",E123="",H123&lt;=0),"Yes",IF(AND(D123="Revenue",I123=""),"Yes","No"))</x:f>
        <x:v>No</x:v>
      </x:c>
      <x:c r="O123" s="72" t="str"/>
    </x:row>
    <x:row r="124">
      <x:c r="A124" s="58" t="n">
        <x:v>46182</x:v>
      </x:c>
      <x:c r="B124" s="52" t="n">
        <x:f>DATE(YEAR(A124),MONTH(A124),1)</x:f>
        <x:v>46174</x:v>
      </x:c>
      <x:c r="C124" s="46" t="str">
        <x:v>TX-1116</x:v>
      </x:c>
      <x:c r="D124" s="46" t="str">
        <x:v>Revenue</x:v>
      </x:c>
      <x:c r="E124" s="46" t="str">
        <x:v>Sales Revenue</x:v>
      </x:c>
      <x:c r="F124" s="46" t="str">
        <x:v>Aspen Ridge HOA</x:v>
      </x:c>
      <x:c r="G124" s="72" t="str">
        <x:v>Monthly service</x:v>
      </x:c>
      <x:c r="H124" s="54" t="n">
        <x:v>4328</x:v>
      </x:c>
      <x:c r="I124" s="46" t="str">
        <x:v>Paid</x:v>
      </x:c>
      <x:c r="J124" s="46" t="str">
        <x:v>INV-61116</x:v>
      </x:c>
      <x:c r="K124" s="56" t="n">
        <x:f>IF(D124="Revenue",H124,0)</x:f>
        <x:v>4328</x:v>
      </x:c>
      <x:c r="L124" s="56" t="n">
        <x:f>IF(D124="Expense",H124,0)</x:f>
        <x:v>0</x:v>
      </x:c>
      <x:c r="M124" s="56" t="n">
        <x:f>K124-L124</x:f>
        <x:v>4328</x:v>
      </x:c>
      <x:c r="N124" s="48" t="str">
        <x:f>IF(OR(D124="",E124="",H124&lt;=0),"Yes",IF(AND(D124="Revenue",I124=""),"Yes","No"))</x:f>
        <x:v>No</x:v>
      </x:c>
      <x:c r="O124" s="72" t="str"/>
    </x:row>
    <x:row r="125">
      <x:c r="A125" s="58" t="n">
        <x:v>46184</x:v>
      </x:c>
      <x:c r="B125" s="52" t="n">
        <x:f>DATE(YEAR(A125),MONTH(A125),1)</x:f>
        <x:v>46174</x:v>
      </x:c>
      <x:c r="C125" s="46" t="str">
        <x:v>TX-1122</x:v>
      </x:c>
      <x:c r="D125" s="46" t="str">
        <x:v>Revenue</x:v>
      </x:c>
      <x:c r="E125" s="46" t="str">
        <x:v>Sales Revenue</x:v>
      </x:c>
      <x:c r="F125" s="46" t="str">
        <x:v>Redstone Apartments</x:v>
      </x:c>
      <x:c r="G125" s="72" t="str">
        <x:v>Deposit received</x:v>
      </x:c>
      <x:c r="H125" s="54" t="n">
        <x:v>2608</x:v>
      </x:c>
      <x:c r="I125" s="46" t="str">
        <x:v>Paid</x:v>
      </x:c>
      <x:c r="J125" s="46" t="str">
        <x:v>INV-61122</x:v>
      </x:c>
      <x:c r="K125" s="56" t="n">
        <x:f>IF(D125="Revenue",H125,0)</x:f>
        <x:v>2608</x:v>
      </x:c>
      <x:c r="L125" s="56" t="n">
        <x:f>IF(D125="Expense",H125,0)</x:f>
        <x:v>0</x:v>
      </x:c>
      <x:c r="M125" s="56" t="n">
        <x:f>K125-L125</x:f>
        <x:v>2608</x:v>
      </x:c>
      <x:c r="N125" s="48" t="str">
        <x:f>IF(OR(D125="",E125="",H125&lt;=0),"Yes",IF(AND(D125="Revenue",I125=""),"Yes","No"))</x:f>
        <x:v>No</x:v>
      </x:c>
      <x:c r="O125" s="72" t="str"/>
    </x:row>
    <x:row r="126">
      <x:c r="A126" s="58" t="n">
        <x:v>46184</x:v>
      </x:c>
      <x:c r="B126" s="52" t="n">
        <x:f>DATE(YEAR(A126),MONTH(A126),1)</x:f>
        <x:v>46174</x:v>
      </x:c>
      <x:c r="C126" s="46" t="str">
        <x:v>TX-1133</x:v>
      </x:c>
      <x:c r="D126" s="46" t="str">
        <x:v>Expense</x:v>
      </x:c>
      <x:c r="E126" s="46" t="str">
        <x:v>Subcontractors</x:v>
      </x:c>
      <x:c r="F126" s="46" t="str"/>
      <x:c r="G126" s="72" t="str">
        <x:v>Job-related purchase</x:v>
      </x:c>
      <x:c r="H126" s="54" t="n">
        <x:v>164</x:v>
      </x:c>
      <x:c r="I126" s="46" t="str">
        <x:v>Paid</x:v>
      </x:c>
      <x:c r="J126" s="46" t="str">
        <x:v>REF-1133</x:v>
      </x:c>
      <x:c r="K126" s="56" t="n">
        <x:f>IF(D126="Revenue",H126,0)</x:f>
        <x:v>0</x:v>
      </x:c>
      <x:c r="L126" s="56" t="n">
        <x:f>IF(D126="Expense",H126,0)</x:f>
        <x:v>164</x:v>
      </x:c>
      <x:c r="M126" s="56" t="n">
        <x:f>K126-L126</x:f>
        <x:v>-164</x:v>
      </x:c>
      <x:c r="N126" s="48" t="str">
        <x:f>IF(OR(D126="",E126="",H126&lt;=0),"Yes",IF(AND(D126="Revenue",I126=""),"Yes","No"))</x:f>
        <x:v>No</x:v>
      </x:c>
      <x:c r="O126" s="72" t="str"/>
    </x:row>
    <x:row r="127">
      <x:c r="A127" s="58" t="n">
        <x:v>46184</x:v>
      </x:c>
      <x:c r="B127" s="52" t="n">
        <x:f>DATE(YEAR(A127),MONTH(A127),1)</x:f>
        <x:v>46174</x:v>
      </x:c>
      <x:c r="C127" s="46" t="str">
        <x:v>TX-1136</x:v>
      </x:c>
      <x:c r="D127" s="46" t="str">
        <x:v>Expense</x:v>
      </x:c>
      <x:c r="E127" s="46" t="str">
        <x:v>Taxes &amp; Licenses</x:v>
      </x:c>
      <x:c r="F127" s="46" t="str"/>
      <x:c r="G127" s="72" t="str">
        <x:v>Job-related purchase</x:v>
      </x:c>
      <x:c r="H127" s="54" t="n">
        <x:v>1403</x:v>
      </x:c>
      <x:c r="I127" s="46" t="str">
        <x:v>Paid</x:v>
      </x:c>
      <x:c r="J127" s="46" t="str">
        <x:v>REF-1136</x:v>
      </x:c>
      <x:c r="K127" s="56" t="n">
        <x:f>IF(D127="Revenue",H127,0)</x:f>
        <x:v>0</x:v>
      </x:c>
      <x:c r="L127" s="56" t="n">
        <x:f>IF(D127="Expense",H127,0)</x:f>
        <x:v>1403</x:v>
      </x:c>
      <x:c r="M127" s="56" t="n">
        <x:f>K127-L127</x:f>
        <x:v>-1403</x:v>
      </x:c>
      <x:c r="N127" s="48" t="str">
        <x:f>IF(OR(D127="",E127="",H127&lt;=0),"Yes",IF(AND(D127="Revenue",I127=""),"Yes","No"))</x:f>
        <x:v>No</x:v>
      </x:c>
      <x:c r="O127" s="72" t="str"/>
    </x:row>
    <x:row r="128">
      <x:c r="A128" s="58" t="n">
        <x:v>46185</x:v>
      </x:c>
      <x:c r="B128" s="52" t="n">
        <x:f>DATE(YEAR(A128),MONTH(A128),1)</x:f>
        <x:v>46174</x:v>
      </x:c>
      <x:c r="C128" s="46" t="str">
        <x:v>TX-1124</x:v>
      </x:c>
      <x:c r="D128" s="46" t="str">
        <x:v>Revenue</x:v>
      </x:c>
      <x:c r="E128" s="46" t="str">
        <x:v>Sales Revenue</x:v>
      </x:c>
      <x:c r="F128" s="46" t="str">
        <x:v>Peak Fitness</x:v>
      </x:c>
      <x:c r="G128" s="72" t="str">
        <x:v>Final invoice</x:v>
      </x:c>
      <x:c r="H128" s="54" t="n">
        <x:v>1459</x:v>
      </x:c>
      <x:c r="I128" s="46" t="str">
        <x:v>Paid</x:v>
      </x:c>
      <x:c r="J128" s="46" t="str">
        <x:v>INV-61124</x:v>
      </x:c>
      <x:c r="K128" s="56" t="n">
        <x:f>IF(D128="Revenue",H128,0)</x:f>
        <x:v>1459</x:v>
      </x:c>
      <x:c r="L128" s="56" t="n">
        <x:f>IF(D128="Expense",H128,0)</x:f>
        <x:v>0</x:v>
      </x:c>
      <x:c r="M128" s="56" t="n">
        <x:f>K128-L128</x:f>
        <x:v>1459</x:v>
      </x:c>
      <x:c r="N128" s="48" t="str">
        <x:f>IF(OR(D128="",E128="",H128&lt;=0),"Yes",IF(AND(D128="Revenue",I128=""),"Yes","No"))</x:f>
        <x:v>No</x:v>
      </x:c>
      <x:c r="O128" s="72" t="str"/>
    </x:row>
    <x:row r="129">
      <x:c r="A129" s="58" t="n">
        <x:v>46187</x:v>
      </x:c>
      <x:c r="B129" s="52" t="n">
        <x:f>DATE(YEAR(A129),MONTH(A129),1)</x:f>
        <x:v>46174</x:v>
      </x:c>
      <x:c r="C129" s="46" t="str">
        <x:v>TX-1134</x:v>
      </x:c>
      <x:c r="D129" s="46" t="str">
        <x:v>Expense</x:v>
      </x:c>
      <x:c r="E129" s="46" t="str">
        <x:v>Professional Fees</x:v>
      </x:c>
      <x:c r="F129" s="46" t="str"/>
      <x:c r="G129" s="72" t="str">
        <x:v>Operating expense</x:v>
      </x:c>
      <x:c r="H129" s="54" t="n">
        <x:v>2200</x:v>
      </x:c>
      <x:c r="I129" s="46" t="str">
        <x:v>Paid</x:v>
      </x:c>
      <x:c r="J129" s="46" t="str">
        <x:v>REF-1134</x:v>
      </x:c>
      <x:c r="K129" s="56" t="n">
        <x:f>IF(D129="Revenue",H129,0)</x:f>
        <x:v>0</x:v>
      </x:c>
      <x:c r="L129" s="56" t="n">
        <x:f>IF(D129="Expense",H129,0)</x:f>
        <x:v>2200</x:v>
      </x:c>
      <x:c r="M129" s="56" t="n">
        <x:f>K129-L129</x:f>
        <x:v>-2200</x:v>
      </x:c>
      <x:c r="N129" s="48" t="str">
        <x:f>IF(OR(D129="",E129="",H129&lt;=0),"Yes",IF(AND(D129="Revenue",I129=""),"Yes","No"))</x:f>
        <x:v>No</x:v>
      </x:c>
      <x:c r="O129" s="72" t="str"/>
    </x:row>
    <x:row r="130">
      <x:c r="A130" s="58" t="n">
        <x:v>46189</x:v>
      </x:c>
      <x:c r="B130" s="52" t="n">
        <x:f>DATE(YEAR(A130),MONTH(A130),1)</x:f>
        <x:v>46174</x:v>
      </x:c>
      <x:c r="C130" s="46" t="str">
        <x:v>TX-1119</x:v>
      </x:c>
      <x:c r="D130" s="46" t="str">
        <x:v>Revenue</x:v>
      </x:c>
      <x:c r="E130" s="46" t="str">
        <x:v>Sales Revenue</x:v>
      </x:c>
      <x:c r="F130" s="46" t="str">
        <x:v>Green Valley Homes</x:v>
      </x:c>
      <x:c r="G130" s="72" t="str">
        <x:v>Monthly service</x:v>
      </x:c>
      <x:c r="H130" s="54" t="n">
        <x:v>4552</x:v>
      </x:c>
      <x:c r="I130" s="46" t="str">
        <x:v>Unpaid</x:v>
      </x:c>
      <x:c r="J130" s="46" t="str">
        <x:v>INV-61119</x:v>
      </x:c>
      <x:c r="K130" s="56" t="n">
        <x:f>IF(D130="Revenue",H130,0)</x:f>
        <x:v>4552</x:v>
      </x:c>
      <x:c r="L130" s="56" t="n">
        <x:f>IF(D130="Expense",H130,0)</x:f>
        <x:v>0</x:v>
      </x:c>
      <x:c r="M130" s="56" t="n">
        <x:f>K130-L130</x:f>
        <x:v>4552</x:v>
      </x:c>
      <x:c r="N130" s="48" t="str">
        <x:f>IF(OR(D130="",E130="",H130&lt;=0),"Yes",IF(AND(D130="Revenue",I130=""),"Yes","No"))</x:f>
        <x:v>No</x:v>
      </x:c>
      <x:c r="O130" s="72" t="str">
        <x:v>Follow up on collection</x:v>
      </x:c>
    </x:row>
    <x:row r="131">
      <x:c r="A131" s="58" t="n">
        <x:v>46189</x:v>
      </x:c>
      <x:c r="B131" s="52" t="n">
        <x:f>DATE(YEAR(A131),MONTH(A131),1)</x:f>
        <x:v>46174</x:v>
      </x:c>
      <x:c r="C131" s="46" t="str">
        <x:v>TX-1126</x:v>
      </x:c>
      <x:c r="D131" s="46" t="str">
        <x:v>Revenue</x:v>
      </x:c>
      <x:c r="E131" s="46" t="str">
        <x:v>Sales Revenue</x:v>
      </x:c>
      <x:c r="F131" s="46" t="str">
        <x:v>Peak Fitness</x:v>
      </x:c>
      <x:c r="G131" s="72" t="str">
        <x:v>Final invoice</x:v>
      </x:c>
      <x:c r="H131" s="54" t="n">
        <x:v>1114</x:v>
      </x:c>
      <x:c r="I131" s="46" t="str">
        <x:v>Paid</x:v>
      </x:c>
      <x:c r="J131" s="46" t="str">
        <x:v>INV-61126</x:v>
      </x:c>
      <x:c r="K131" s="56" t="n">
        <x:f>IF(D131="Revenue",H131,0)</x:f>
        <x:v>1114</x:v>
      </x:c>
      <x:c r="L131" s="56" t="n">
        <x:f>IF(D131="Expense",H131,0)</x:f>
        <x:v>0</x:v>
      </x:c>
      <x:c r="M131" s="56" t="n">
        <x:f>K131-L131</x:f>
        <x:v>1114</x:v>
      </x:c>
      <x:c r="N131" s="48" t="str">
        <x:f>IF(OR(D131="",E131="",H131&lt;=0),"Yes",IF(AND(D131="Revenue",I131=""),"Yes","No"))</x:f>
        <x:v>No</x:v>
      </x:c>
      <x:c r="O131" s="72" t="str"/>
    </x:row>
    <x:row r="132">
      <x:c r="A132" s="58" t="n">
        <x:v>46189</x:v>
      </x:c>
      <x:c r="B132" s="52" t="n">
        <x:f>DATE(YEAR(A132),MONTH(A132),1)</x:f>
        <x:v>46174</x:v>
      </x:c>
      <x:c r="C132" s="46" t="str">
        <x:v>TX-1137</x:v>
      </x:c>
      <x:c r="D132" s="46" t="str">
        <x:v>Expense</x:v>
      </x:c>
      <x:c r="E132" s="46" t="str">
        <x:v>Taxes &amp; Licenses</x:v>
      </x:c>
      <x:c r="F132" s="46" t="str"/>
      <x:c r="G132" s="72" t="str">
        <x:v>Vendor payment</x:v>
      </x:c>
      <x:c r="H132" s="54" t="n">
        <x:v>1407</x:v>
      </x:c>
      <x:c r="I132" s="46" t="str">
        <x:v>Paid</x:v>
      </x:c>
      <x:c r="J132" s="46" t="str">
        <x:v>REF-1137</x:v>
      </x:c>
      <x:c r="K132" s="56" t="n">
        <x:f>IF(D132="Revenue",H132,0)</x:f>
        <x:v>0</x:v>
      </x:c>
      <x:c r="L132" s="56" t="n">
        <x:f>IF(D132="Expense",H132,0)</x:f>
        <x:v>1407</x:v>
      </x:c>
      <x:c r="M132" s="56" t="n">
        <x:f>K132-L132</x:f>
        <x:v>-1407</x:v>
      </x:c>
      <x:c r="N132" s="48" t="str">
        <x:f>IF(OR(D132="",E132="",H132&lt;=0),"Yes",IF(AND(D132="Revenue",I132=""),"Yes","No"))</x:f>
        <x:v>No</x:v>
      </x:c>
      <x:c r="O132" s="72" t="str"/>
    </x:row>
    <x:row r="133">
      <x:c r="A133" s="58" t="n">
        <x:v>46190</x:v>
      </x:c>
      <x:c r="B133" s="52" t="n">
        <x:f>DATE(YEAR(A133),MONTH(A133),1)</x:f>
        <x:v>46174</x:v>
      </x:c>
      <x:c r="C133" s="46" t="str">
        <x:v>TX-1120</x:v>
      </x:c>
      <x:c r="D133" s="46" t="str">
        <x:v>Revenue</x:v>
      </x:c>
      <x:c r="E133" s="46" t="str">
        <x:v>Sales Revenue</x:v>
      </x:c>
      <x:c r="F133" s="46" t="str">
        <x:v>Peak Fitness</x:v>
      </x:c>
      <x:c r="G133" s="72" t="str">
        <x:v>Deposit received</x:v>
      </x:c>
      <x:c r="H133" s="54" t="n">
        <x:v>6410</x:v>
      </x:c>
      <x:c r="I133" s="46" t="str">
        <x:v>Partial</x:v>
      </x:c>
      <x:c r="J133" s="46" t="str">
        <x:v>INV-61120</x:v>
      </x:c>
      <x:c r="K133" s="56" t="n">
        <x:f>IF(D133="Revenue",H133,0)</x:f>
        <x:v>6410</x:v>
      </x:c>
      <x:c r="L133" s="56" t="n">
        <x:f>IF(D133="Expense",H133,0)</x:f>
        <x:v>0</x:v>
      </x:c>
      <x:c r="M133" s="56" t="n">
        <x:f>K133-L133</x:f>
        <x:v>6410</x:v>
      </x:c>
      <x:c r="N133" s="48" t="str">
        <x:f>IF(OR(D133="",E133="",H133&lt;=0),"Yes",IF(AND(D133="Revenue",I133=""),"Yes","No"))</x:f>
        <x:v>No</x:v>
      </x:c>
      <x:c r="O133" s="72" t="str">
        <x:v>Follow up on collection</x:v>
      </x:c>
    </x:row>
    <x:row r="134">
      <x:c r="A134" s="58" t="n">
        <x:v>46190</x:v>
      </x:c>
      <x:c r="B134" s="52" t="n">
        <x:f>DATE(YEAR(A134),MONTH(A134),1)</x:f>
        <x:v>46174</x:v>
      </x:c>
      <x:c r="C134" s="46" t="str">
        <x:v>TX-1131</x:v>
      </x:c>
      <x:c r="D134" s="46" t="str">
        <x:v>Expense</x:v>
      </x:c>
      <x:c r="E134" s="46" t="str">
        <x:v>Meals</x:v>
      </x:c>
      <x:c r="F134" s="46" t="str"/>
      <x:c r="G134" s="72" t="str">
        <x:v>Vendor payment</x:v>
      </x:c>
      <x:c r="H134" s="54" t="n">
        <x:v>2321</x:v>
      </x:c>
      <x:c r="I134" s="46" t="str">
        <x:v>Paid</x:v>
      </x:c>
      <x:c r="J134" s="46" t="str">
        <x:v>REF-1131</x:v>
      </x:c>
      <x:c r="K134" s="56" t="n">
        <x:f>IF(D134="Revenue",H134,0)</x:f>
        <x:v>0</x:v>
      </x:c>
      <x:c r="L134" s="56" t="n">
        <x:f>IF(D134="Expense",H134,0)</x:f>
        <x:v>2321</x:v>
      </x:c>
      <x:c r="M134" s="56" t="n">
        <x:f>K134-L134</x:f>
        <x:v>-2321</x:v>
      </x:c>
      <x:c r="N134" s="48" t="str">
        <x:f>IF(OR(D134="",E134="",H134&lt;=0),"Yes",IF(AND(D134="Revenue",I134=""),"Yes","No"))</x:f>
        <x:v>No</x:v>
      </x:c>
      <x:c r="O134" s="72" t="str"/>
    </x:row>
    <x:row r="135">
      <x:c r="A135" s="58" t="n">
        <x:v>46191</x:v>
      </x:c>
      <x:c r="B135" s="52" t="n">
        <x:f>DATE(YEAR(A135),MONTH(A135),1)</x:f>
        <x:v>46174</x:v>
      </x:c>
      <x:c r="C135" s="46" t="str">
        <x:v>TX-1123</x:v>
      </x:c>
      <x:c r="D135" s="46" t="str">
        <x:v>Revenue</x:v>
      </x:c>
      <x:c r="E135" s="46" t="str">
        <x:v>Sales Revenue</x:v>
      </x:c>
      <x:c r="F135" s="46" t="str">
        <x:v>Boulder Build Co.</x:v>
      </x:c>
      <x:c r="G135" s="72" t="str">
        <x:v>Final invoice</x:v>
      </x:c>
      <x:c r="H135" s="54" t="n">
        <x:v>2363</x:v>
      </x:c>
      <x:c r="I135" s="46" t="str">
        <x:v>Paid</x:v>
      </x:c>
      <x:c r="J135" s="46" t="str">
        <x:v>INV-61123</x:v>
      </x:c>
      <x:c r="K135" s="56" t="n">
        <x:f>IF(D135="Revenue",H135,0)</x:f>
        <x:v>2363</x:v>
      </x:c>
      <x:c r="L135" s="56" t="n">
        <x:f>IF(D135="Expense",H135,0)</x:f>
        <x:v>0</x:v>
      </x:c>
      <x:c r="M135" s="56" t="n">
        <x:f>K135-L135</x:f>
        <x:v>2363</x:v>
      </x:c>
      <x:c r="N135" s="48" t="str">
        <x:f>IF(OR(D135="",E135="",H135&lt;=0),"Yes",IF(AND(D135="Revenue",I135=""),"Yes","No"))</x:f>
        <x:v>No</x:v>
      </x:c>
      <x:c r="O135" s="72" t="str"/>
    </x:row>
    <x:row r="136">
      <x:c r="A136" s="58" t="n">
        <x:v>46192</x:v>
      </x:c>
      <x:c r="B136" s="52" t="n">
        <x:f>DATE(YEAR(A136),MONTH(A136),1)</x:f>
        <x:v>46174</x:v>
      </x:c>
      <x:c r="C136" s="46" t="str">
        <x:v>TX-1132</x:v>
      </x:c>
      <x:c r="D136" s="46" t="str">
        <x:v>Expense</x:v>
      </x:c>
      <x:c r="E136" s="46" t="str">
        <x:v>Subcontractors</x:v>
      </x:c>
      <x:c r="F136" s="46" t="str"/>
      <x:c r="G136" s="72" t="str">
        <x:v>Monthly bill</x:v>
      </x:c>
      <x:c r="H136" s="54" t="n">
        <x:v>2269</x:v>
      </x:c>
      <x:c r="I136" s="46" t="str">
        <x:v>Paid</x:v>
      </x:c>
      <x:c r="J136" s="46" t="str">
        <x:v>REF-1132</x:v>
      </x:c>
      <x:c r="K136" s="56" t="n">
        <x:f>IF(D136="Revenue",H136,0)</x:f>
        <x:v>0</x:v>
      </x:c>
      <x:c r="L136" s="56" t="n">
        <x:f>IF(D136="Expense",H136,0)</x:f>
        <x:v>2269</x:v>
      </x:c>
      <x:c r="M136" s="56" t="n">
        <x:f>K136-L136</x:f>
        <x:v>-2269</x:v>
      </x:c>
      <x:c r="N136" s="48" t="str">
        <x:f>IF(OR(D136="",E136="",H136&lt;=0),"Yes",IF(AND(D136="Revenue",I136=""),"Yes","No"))</x:f>
        <x:v>No</x:v>
      </x:c>
      <x:c r="O136" s="72" t="str"/>
    </x:row>
    <x:row r="137">
      <x:c r="A137" s="58" t="n">
        <x:v>46193</x:v>
      </x:c>
      <x:c r="B137" s="52" t="n">
        <x:f>DATE(YEAR(A137),MONTH(A137),1)</x:f>
        <x:v>46174</x:v>
      </x:c>
      <x:c r="C137" s="46" t="str">
        <x:v>TX-1118</x:v>
      </x:c>
      <x:c r="D137" s="46" t="str">
        <x:v>Revenue</x:v>
      </x:c>
      <x:c r="E137" s="46" t="str">
        <x:v>Sales Revenue</x:v>
      </x:c>
      <x:c r="F137" s="46" t="str">
        <x:v>Boulder Build Co.</x:v>
      </x:c>
      <x:c r="G137" s="72" t="str">
        <x:v>Monthly service</x:v>
      </x:c>
      <x:c r="H137" s="54" t="n">
        <x:v>3281</x:v>
      </x:c>
      <x:c r="I137" s="46" t="str">
        <x:v>Paid</x:v>
      </x:c>
      <x:c r="J137" s="46" t="str">
        <x:v>INV-61118</x:v>
      </x:c>
      <x:c r="K137" s="56" t="n">
        <x:f>IF(D137="Revenue",H137,0)</x:f>
        <x:v>3281</x:v>
      </x:c>
      <x:c r="L137" s="56" t="n">
        <x:f>IF(D137="Expense",H137,0)</x:f>
        <x:v>0</x:v>
      </x:c>
      <x:c r="M137" s="56" t="n">
        <x:f>K137-L137</x:f>
        <x:v>3281</x:v>
      </x:c>
      <x:c r="N137" s="48" t="str">
        <x:f>IF(OR(D137="",E137="",H137&lt;=0),"Yes",IF(AND(D137="Revenue",I137=""),"Yes","No"))</x:f>
        <x:v>No</x:v>
      </x:c>
      <x:c r="O137" s="72" t="str"/>
    </x:row>
    <x:row r="138">
      <x:c r="A138" s="58" t="n">
        <x:v>46196</x:v>
      </x:c>
      <x:c r="B138" s="52" t="n">
        <x:f>DATE(YEAR(A138),MONTH(A138),1)</x:f>
        <x:v>46174</x:v>
      </x:c>
      <x:c r="C138" s="46" t="str">
        <x:v>TX-1129</x:v>
      </x:c>
      <x:c r="D138" s="46" t="str">
        <x:v>Expense</x:v>
      </x:c>
      <x:c r="E138" s="46" t="str">
        <x:v>Fuel &amp; Vehicle</x:v>
      </x:c>
      <x:c r="F138" s="46" t="str"/>
      <x:c r="G138" s="72" t="str">
        <x:v>Job-related purchase</x:v>
      </x:c>
      <x:c r="H138" s="54" t="n">
        <x:v>2238</x:v>
      </x:c>
      <x:c r="I138" s="46" t="str">
        <x:v>Paid</x:v>
      </x:c>
      <x:c r="J138" s="46" t="str">
        <x:v>REF-1129</x:v>
      </x:c>
      <x:c r="K138" s="56" t="n">
        <x:f>IF(D138="Revenue",H138,0)</x:f>
        <x:v>0</x:v>
      </x:c>
      <x:c r="L138" s="56" t="n">
        <x:f>IF(D138="Expense",H138,0)</x:f>
        <x:v>2238</x:v>
      </x:c>
      <x:c r="M138" s="56" t="n">
        <x:f>K138-L138</x:f>
        <x:v>-2238</x:v>
      </x:c>
      <x:c r="N138" s="48" t="str">
        <x:f>IF(OR(D138="",E138="",H138&lt;=0),"Yes",IF(AND(D138="Revenue",I138=""),"Yes","No"))</x:f>
        <x:v>No</x:v>
      </x:c>
      <x:c r="O138" s="72" t="str"/>
    </x:row>
    <x:row r="139">
      <x:c r="A139" s="58" t="n">
        <x:v>46197</x:v>
      </x:c>
      <x:c r="B139" s="52" t="n">
        <x:f>DATE(YEAR(A139),MONTH(A139),1)</x:f>
        <x:v>46174</x:v>
      </x:c>
      <x:c r="C139" s="46" t="str">
        <x:v>TX-1138</x:v>
      </x:c>
      <x:c r="D139" s="46" t="str">
        <x:v>Expense</x:v>
      </x:c>
      <x:c r="E139" s="46" t="str">
        <x:v>Payroll</x:v>
      </x:c>
      <x:c r="F139" s="46" t="str"/>
      <x:c r="G139" s="72" t="str">
        <x:v>Operating expense</x:v>
      </x:c>
      <x:c r="H139" s="54" t="n">
        <x:v>463</x:v>
      </x:c>
      <x:c r="I139" s="46" t="str">
        <x:v>Paid</x:v>
      </x:c>
      <x:c r="J139" s="46" t="str">
        <x:v>REF-1138</x:v>
      </x:c>
      <x:c r="K139" s="56" t="n">
        <x:f>IF(D139="Revenue",H139,0)</x:f>
        <x:v>0</x:v>
      </x:c>
      <x:c r="L139" s="56" t="n">
        <x:f>IF(D139="Expense",H139,0)</x:f>
        <x:v>463</x:v>
      </x:c>
      <x:c r="M139" s="56" t="n">
        <x:f>K139-L139</x:f>
        <x:v>-463</x:v>
      </x:c>
      <x:c r="N139" s="48" t="str">
        <x:f>IF(OR(D139="",E139="",H139&lt;=0),"Yes",IF(AND(D139="Revenue",I139=""),"Yes","No"))</x:f>
        <x:v>No</x:v>
      </x:c>
      <x:c r="O139" s="72" t="str"/>
    </x:row>
    <x:row r="140">
      <x:c r="A140" s="59" t="n">
        <x:v>46199</x:v>
      </x:c>
      <x:c r="B140" s="60" t="n">
        <x:f>DATE(YEAR(A140),MONTH(A140),1)</x:f>
        <x:v>46174</x:v>
      </x:c>
      <x:c r="C140" s="61" t="str">
        <x:v>TX-1121</x:v>
      </x:c>
      <x:c r="D140" s="61" t="str">
        <x:v>Revenue</x:v>
      </x:c>
      <x:c r="E140" s="61" t="str">
        <x:v>Sales Revenue</x:v>
      </x:c>
      <x:c r="F140" s="61" t="str">
        <x:v>Redstone Apartments</x:v>
      </x:c>
      <x:c r="G140" s="73" t="str">
        <x:v>Project milestone</x:v>
      </x:c>
      <x:c r="H140" s="62" t="n">
        <x:v>1720</x:v>
      </x:c>
      <x:c r="I140" s="61" t="str">
        <x:v>Paid</x:v>
      </x:c>
      <x:c r="J140" s="61" t="str">
        <x:v>INV-61121</x:v>
      </x:c>
      <x:c r="K140" s="63" t="n">
        <x:f>IF(D140="Revenue",H140,0)</x:f>
        <x:v>1720</x:v>
      </x:c>
      <x:c r="L140" s="63" t="n">
        <x:f>IF(D140="Expense",H140,0)</x:f>
        <x:v>0</x:v>
      </x:c>
      <x:c r="M140" s="63" t="n">
        <x:f>K140-L140</x:f>
        <x:v>1720</x:v>
      </x:c>
      <x:c r="N140" s="64" t="str">
        <x:f>IF(OR(D140="",E140="",H140&lt;=0),"Yes",IF(AND(D140="Revenue",I140=""),"Yes","No"))</x:f>
        <x:v>No</x:v>
      </x:c>
      <x:c r="O140" s="73" t="str"/>
    </x:row>
    <x:row r="141">
      <x:c r="A141" s="50"/>
      <x:c r="B141" s="52"/>
      <x:c r="C141" s="46"/>
      <x:c r="D141" s="46"/>
      <x:c r="E141" s="46"/>
      <x:c r="F141" s="46"/>
      <x:c r="G141" s="72"/>
      <x:c r="H141" s="54"/>
      <x:c r="I141" s="46"/>
      <x:c r="J141" s="46"/>
      <x:c r="K141" s="56"/>
      <x:c r="L141" s="56"/>
      <x:c r="M141" s="56"/>
      <x:c r="N141" s="48"/>
      <x:c r="O141" s="72"/>
    </x:row>
    <x:row r="142">
      <x:c r="A142" s="50"/>
      <x:c r="B142" s="52"/>
      <x:c r="C142" s="46"/>
      <x:c r="D142" s="46"/>
      <x:c r="E142" s="46"/>
      <x:c r="F142" s="46"/>
      <x:c r="G142" s="72"/>
      <x:c r="H142" s="54"/>
      <x:c r="I142" s="46"/>
      <x:c r="J142" s="46"/>
      <x:c r="K142" s="56"/>
      <x:c r="L142" s="56"/>
      <x:c r="M142" s="56"/>
      <x:c r="N142" s="48"/>
      <x:c r="O142" s="72"/>
    </x:row>
    <x:row r="143">
      <x:c r="A143" s="50"/>
      <x:c r="B143" s="52"/>
      <x:c r="C143" s="46"/>
      <x:c r="D143" s="46"/>
      <x:c r="E143" s="46"/>
      <x:c r="F143" s="46"/>
      <x:c r="G143" s="72"/>
      <x:c r="H143" s="54"/>
      <x:c r="I143" s="46"/>
      <x:c r="J143" s="46"/>
      <x:c r="K143" s="56"/>
      <x:c r="L143" s="56"/>
      <x:c r="M143" s="56"/>
      <x:c r="N143" s="48"/>
      <x:c r="O143" s="72"/>
    </x:row>
    <x:row r="144">
      <x:c r="A144" s="50"/>
      <x:c r="B144" s="52"/>
      <x:c r="C144" s="46"/>
      <x:c r="D144" s="46"/>
      <x:c r="E144" s="46"/>
      <x:c r="F144" s="46"/>
      <x:c r="G144" s="72"/>
      <x:c r="H144" s="54"/>
      <x:c r="I144" s="46"/>
      <x:c r="J144" s="46"/>
      <x:c r="K144" s="56"/>
      <x:c r="L144" s="56"/>
      <x:c r="M144" s="56"/>
      <x:c r="N144" s="48"/>
      <x:c r="O144" s="72"/>
    </x:row>
    <x:row r="145">
      <x:c r="A145" s="50"/>
      <x:c r="B145" s="52"/>
      <x:c r="C145" s="46"/>
      <x:c r="D145" s="46"/>
      <x:c r="E145" s="46"/>
      <x:c r="F145" s="46"/>
      <x:c r="G145" s="72"/>
      <x:c r="H145" s="54"/>
      <x:c r="I145" s="46"/>
      <x:c r="J145" s="46"/>
      <x:c r="K145" s="56"/>
      <x:c r="L145" s="56"/>
      <x:c r="M145" s="56"/>
      <x:c r="N145" s="48"/>
      <x:c r="O145" s="72"/>
    </x:row>
    <x:row r="146">
      <x:c r="A146" s="50"/>
      <x:c r="B146" s="52"/>
      <x:c r="C146" s="46"/>
      <x:c r="D146" s="46"/>
      <x:c r="E146" s="46"/>
      <x:c r="F146" s="46"/>
      <x:c r="G146" s="72"/>
      <x:c r="H146" s="54"/>
      <x:c r="I146" s="46"/>
      <x:c r="J146" s="46"/>
      <x:c r="K146" s="56"/>
      <x:c r="L146" s="56"/>
      <x:c r="M146" s="56"/>
      <x:c r="N146" s="48"/>
      <x:c r="O146" s="72"/>
    </x:row>
    <x:row r="147">
      <x:c r="A147" s="50"/>
      <x:c r="B147" s="52"/>
      <x:c r="C147" s="46"/>
      <x:c r="D147" s="46"/>
      <x:c r="E147" s="46"/>
      <x:c r="F147" s="46"/>
      <x:c r="G147" s="72"/>
      <x:c r="H147" s="54"/>
      <x:c r="I147" s="46"/>
      <x:c r="J147" s="46"/>
      <x:c r="K147" s="56"/>
      <x:c r="L147" s="56"/>
      <x:c r="M147" s="56"/>
      <x:c r="N147" s="48"/>
      <x:c r="O147" s="72"/>
    </x:row>
    <x:row r="148">
      <x:c r="A148" s="50"/>
      <x:c r="B148" s="52"/>
      <x:c r="C148" s="46"/>
      <x:c r="D148" s="46"/>
      <x:c r="E148" s="46"/>
      <x:c r="F148" s="46"/>
      <x:c r="G148" s="72"/>
      <x:c r="H148" s="54"/>
      <x:c r="I148" s="46"/>
      <x:c r="J148" s="46"/>
      <x:c r="K148" s="56"/>
      <x:c r="L148" s="56"/>
      <x:c r="M148" s="56"/>
      <x:c r="N148" s="48"/>
      <x:c r="O148" s="72"/>
    </x:row>
    <x:row r="149">
      <x:c r="A149" s="50"/>
      <x:c r="B149" s="52"/>
      <x:c r="C149" s="46"/>
      <x:c r="D149" s="46"/>
      <x:c r="E149" s="46"/>
      <x:c r="F149" s="46"/>
      <x:c r="G149" s="72"/>
      <x:c r="H149" s="54"/>
      <x:c r="I149" s="46"/>
      <x:c r="J149" s="46"/>
      <x:c r="K149" s="56"/>
      <x:c r="L149" s="56"/>
      <x:c r="M149" s="56"/>
      <x:c r="N149" s="48"/>
      <x:c r="O149" s="72"/>
    </x:row>
    <x:row r="150">
      <x:c r="A150" s="50"/>
      <x:c r="B150" s="52"/>
      <x:c r="C150" s="46"/>
      <x:c r="D150" s="46"/>
      <x:c r="E150" s="46"/>
      <x:c r="F150" s="46"/>
      <x:c r="G150" s="72"/>
      <x:c r="H150" s="54"/>
      <x:c r="I150" s="46"/>
      <x:c r="J150" s="46"/>
      <x:c r="K150" s="56"/>
      <x:c r="L150" s="56"/>
      <x:c r="M150" s="56"/>
      <x:c r="N150" s="48"/>
      <x:c r="O150" s="72"/>
    </x:row>
    <x:row r="151">
      <x:c r="A151" s="50"/>
      <x:c r="B151" s="52"/>
      <x:c r="C151" s="46"/>
      <x:c r="D151" s="46"/>
      <x:c r="E151" s="46"/>
      <x:c r="F151" s="46"/>
      <x:c r="G151" s="72"/>
      <x:c r="H151" s="54"/>
      <x:c r="I151" s="46"/>
      <x:c r="J151" s="46"/>
      <x:c r="K151" s="56"/>
      <x:c r="L151" s="56"/>
      <x:c r="M151" s="56"/>
      <x:c r="N151" s="48"/>
      <x:c r="O151" s="72"/>
    </x:row>
    <x:row r="152">
      <x:c r="A152" s="50"/>
      <x:c r="B152" s="52"/>
      <x:c r="C152" s="46"/>
      <x:c r="D152" s="46"/>
      <x:c r="E152" s="46"/>
      <x:c r="F152" s="46"/>
      <x:c r="G152" s="72"/>
      <x:c r="H152" s="54"/>
      <x:c r="I152" s="46"/>
      <x:c r="J152" s="46"/>
      <x:c r="K152" s="56"/>
      <x:c r="L152" s="56"/>
      <x:c r="M152" s="56"/>
      <x:c r="N152" s="48"/>
      <x:c r="O152" s="72"/>
    </x:row>
    <x:row r="153">
      <x:c r="A153" s="50"/>
      <x:c r="B153" s="52"/>
      <x:c r="C153" s="46"/>
      <x:c r="D153" s="46"/>
      <x:c r="E153" s="46"/>
      <x:c r="F153" s="46"/>
      <x:c r="G153" s="72"/>
      <x:c r="H153" s="54"/>
      <x:c r="I153" s="46"/>
      <x:c r="J153" s="46"/>
      <x:c r="K153" s="56"/>
      <x:c r="L153" s="56"/>
      <x:c r="M153" s="56"/>
      <x:c r="N153" s="48"/>
      <x:c r="O153" s="72"/>
    </x:row>
    <x:row r="154">
      <x:c r="A154" s="50"/>
      <x:c r="B154" s="52"/>
      <x:c r="C154" s="46"/>
      <x:c r="D154" s="46"/>
      <x:c r="E154" s="46"/>
      <x:c r="F154" s="46"/>
      <x:c r="G154" s="72"/>
      <x:c r="H154" s="54"/>
      <x:c r="I154" s="46"/>
      <x:c r="J154" s="46"/>
      <x:c r="K154" s="56"/>
      <x:c r="L154" s="56"/>
      <x:c r="M154" s="56"/>
      <x:c r="N154" s="48"/>
      <x:c r="O154" s="72"/>
    </x:row>
    <x:row r="155">
      <x:c r="A155" s="50"/>
      <x:c r="B155" s="52"/>
      <x:c r="C155" s="46"/>
      <x:c r="D155" s="46"/>
      <x:c r="E155" s="46"/>
      <x:c r="F155" s="46"/>
      <x:c r="G155" s="72"/>
      <x:c r="H155" s="54"/>
      <x:c r="I155" s="46"/>
      <x:c r="J155" s="46"/>
      <x:c r="K155" s="56"/>
      <x:c r="L155" s="56"/>
      <x:c r="M155" s="56"/>
      <x:c r="N155" s="48"/>
      <x:c r="O155" s="72"/>
    </x:row>
    <x:row r="156">
      <x:c r="A156" s="50"/>
      <x:c r="B156" s="52"/>
      <x:c r="C156" s="46"/>
      <x:c r="D156" s="46"/>
      <x:c r="E156" s="46"/>
      <x:c r="F156" s="46"/>
      <x:c r="G156" s="72"/>
      <x:c r="H156" s="54"/>
      <x:c r="I156" s="46"/>
      <x:c r="J156" s="46"/>
      <x:c r="K156" s="56"/>
      <x:c r="L156" s="56"/>
      <x:c r="M156" s="56"/>
      <x:c r="N156" s="48"/>
      <x:c r="O156" s="72"/>
    </x:row>
    <x:row r="157">
      <x:c r="A157" s="50"/>
      <x:c r="B157" s="52"/>
      <x:c r="C157" s="46"/>
      <x:c r="D157" s="46"/>
      <x:c r="E157" s="46"/>
      <x:c r="F157" s="46"/>
      <x:c r="G157" s="72"/>
      <x:c r="H157" s="54"/>
      <x:c r="I157" s="46"/>
      <x:c r="J157" s="46"/>
      <x:c r="K157" s="56"/>
      <x:c r="L157" s="56"/>
      <x:c r="M157" s="56"/>
      <x:c r="N157" s="48"/>
      <x:c r="O157" s="72"/>
    </x:row>
    <x:row r="158">
      <x:c r="A158" s="50"/>
      <x:c r="B158" s="52"/>
      <x:c r="C158" s="46"/>
      <x:c r="D158" s="46"/>
      <x:c r="E158" s="46"/>
      <x:c r="F158" s="46"/>
      <x:c r="G158" s="72"/>
      <x:c r="H158" s="54"/>
      <x:c r="I158" s="46"/>
      <x:c r="J158" s="46"/>
      <x:c r="K158" s="56"/>
      <x:c r="L158" s="56"/>
      <x:c r="M158" s="56"/>
      <x:c r="N158" s="48"/>
      <x:c r="O158" s="72"/>
    </x:row>
    <x:row r="159">
      <x:c r="A159" s="50"/>
      <x:c r="B159" s="52"/>
      <x:c r="C159" s="46"/>
      <x:c r="D159" s="46"/>
      <x:c r="E159" s="46"/>
      <x:c r="F159" s="46"/>
      <x:c r="G159" s="72"/>
      <x:c r="H159" s="54"/>
      <x:c r="I159" s="46"/>
      <x:c r="J159" s="46"/>
      <x:c r="K159" s="56"/>
      <x:c r="L159" s="56"/>
      <x:c r="M159" s="56"/>
      <x:c r="N159" s="48"/>
      <x:c r="O159" s="72"/>
    </x:row>
    <x:row r="160">
      <x:c r="A160" s="50"/>
      <x:c r="B160" s="52"/>
      <x:c r="C160" s="46"/>
      <x:c r="D160" s="46"/>
      <x:c r="E160" s="46"/>
      <x:c r="F160" s="46"/>
      <x:c r="G160" s="72"/>
      <x:c r="H160" s="54"/>
      <x:c r="I160" s="46"/>
      <x:c r="J160" s="46"/>
      <x:c r="K160" s="56"/>
      <x:c r="L160" s="56"/>
      <x:c r="M160" s="56"/>
      <x:c r="N160" s="48"/>
      <x:c r="O160" s="72"/>
    </x:row>
    <x:row r="161">
      <x:c r="A161" s="50"/>
      <x:c r="B161" s="52"/>
      <x:c r="C161" s="46"/>
      <x:c r="D161" s="46"/>
      <x:c r="E161" s="46"/>
      <x:c r="F161" s="46"/>
      <x:c r="G161" s="72"/>
      <x:c r="H161" s="54"/>
      <x:c r="I161" s="46"/>
      <x:c r="J161" s="46"/>
      <x:c r="K161" s="56"/>
      <x:c r="L161" s="56"/>
      <x:c r="M161" s="56"/>
      <x:c r="N161" s="48"/>
      <x:c r="O161" s="72"/>
    </x:row>
    <x:row r="162">
      <x:c r="A162" s="50"/>
      <x:c r="B162" s="52"/>
      <x:c r="C162" s="46"/>
      <x:c r="D162" s="46"/>
      <x:c r="E162" s="46"/>
      <x:c r="F162" s="46"/>
      <x:c r="G162" s="72"/>
      <x:c r="H162" s="54"/>
      <x:c r="I162" s="46"/>
      <x:c r="J162" s="46"/>
      <x:c r="K162" s="56"/>
      <x:c r="L162" s="56"/>
      <x:c r="M162" s="56"/>
      <x:c r="N162" s="48"/>
      <x:c r="O162" s="72"/>
    </x:row>
    <x:row r="163">
      <x:c r="A163" s="50"/>
      <x:c r="B163" s="52"/>
      <x:c r="C163" s="46"/>
      <x:c r="D163" s="46"/>
      <x:c r="E163" s="46"/>
      <x:c r="F163" s="46"/>
      <x:c r="G163" s="72"/>
      <x:c r="H163" s="54"/>
      <x:c r="I163" s="46"/>
      <x:c r="J163" s="46"/>
      <x:c r="K163" s="56"/>
      <x:c r="L163" s="56"/>
      <x:c r="M163" s="56"/>
      <x:c r="N163" s="48"/>
      <x:c r="O163" s="72"/>
    </x:row>
    <x:row r="164">
      <x:c r="A164" s="50"/>
      <x:c r="B164" s="52"/>
      <x:c r="C164" s="46"/>
      <x:c r="D164" s="46"/>
      <x:c r="E164" s="46"/>
      <x:c r="F164" s="46"/>
      <x:c r="G164" s="72"/>
      <x:c r="H164" s="54"/>
      <x:c r="I164" s="46"/>
      <x:c r="J164" s="46"/>
      <x:c r="K164" s="56"/>
      <x:c r="L164" s="56"/>
      <x:c r="M164" s="56"/>
      <x:c r="N164" s="48"/>
      <x:c r="O164" s="72"/>
    </x:row>
    <x:row r="165">
      <x:c r="A165" s="50"/>
      <x:c r="B165" s="52"/>
      <x:c r="C165" s="46"/>
      <x:c r="D165" s="46"/>
      <x:c r="E165" s="46"/>
      <x:c r="F165" s="46"/>
      <x:c r="G165" s="72"/>
      <x:c r="H165" s="54"/>
      <x:c r="I165" s="46"/>
      <x:c r="J165" s="46"/>
      <x:c r="K165" s="56"/>
      <x:c r="L165" s="56"/>
      <x:c r="M165" s="56"/>
      <x:c r="N165" s="48"/>
      <x:c r="O165" s="72"/>
    </x:row>
    <x:row r="166">
      <x:c r="A166" s="50"/>
      <x:c r="B166" s="52"/>
      <x:c r="C166" s="46"/>
      <x:c r="D166" s="46"/>
      <x:c r="E166" s="46"/>
      <x:c r="F166" s="46"/>
      <x:c r="G166" s="72"/>
      <x:c r="H166" s="54"/>
      <x:c r="I166" s="46"/>
      <x:c r="J166" s="46"/>
      <x:c r="K166" s="56"/>
      <x:c r="L166" s="56"/>
      <x:c r="M166" s="56"/>
      <x:c r="N166" s="48"/>
      <x:c r="O166" s="72"/>
    </x:row>
    <x:row r="167">
      <x:c r="A167" s="50"/>
      <x:c r="B167" s="52"/>
      <x:c r="C167" s="46"/>
      <x:c r="D167" s="46"/>
      <x:c r="E167" s="46"/>
      <x:c r="F167" s="46"/>
      <x:c r="G167" s="72"/>
      <x:c r="H167" s="54"/>
      <x:c r="I167" s="46"/>
      <x:c r="J167" s="46"/>
      <x:c r="K167" s="56"/>
      <x:c r="L167" s="56"/>
      <x:c r="M167" s="56"/>
      <x:c r="N167" s="48"/>
      <x:c r="O167" s="72"/>
    </x:row>
    <x:row r="168">
      <x:c r="A168" s="50"/>
      <x:c r="B168" s="52"/>
      <x:c r="C168" s="46"/>
      <x:c r="D168" s="46"/>
      <x:c r="E168" s="46"/>
      <x:c r="F168" s="46"/>
      <x:c r="G168" s="72"/>
      <x:c r="H168" s="54"/>
      <x:c r="I168" s="46"/>
      <x:c r="J168" s="46"/>
      <x:c r="K168" s="56"/>
      <x:c r="L168" s="56"/>
      <x:c r="M168" s="56"/>
      <x:c r="N168" s="48"/>
      <x:c r="O168" s="72"/>
    </x:row>
    <x:row r="169">
      <x:c r="A169" s="50"/>
      <x:c r="B169" s="52"/>
      <x:c r="C169" s="46"/>
      <x:c r="D169" s="46"/>
      <x:c r="E169" s="46"/>
      <x:c r="F169" s="46"/>
      <x:c r="G169" s="72"/>
      <x:c r="H169" s="54"/>
      <x:c r="I169" s="46"/>
      <x:c r="J169" s="46"/>
      <x:c r="K169" s="56"/>
      <x:c r="L169" s="56"/>
      <x:c r="M169" s="56"/>
      <x:c r="N169" s="48"/>
      <x:c r="O169" s="72"/>
    </x:row>
    <x:row r="170">
      <x:c r="A170" s="50"/>
      <x:c r="B170" s="52"/>
      <x:c r="C170" s="46"/>
      <x:c r="D170" s="46"/>
      <x:c r="E170" s="46"/>
      <x:c r="F170" s="46"/>
      <x:c r="G170" s="72"/>
      <x:c r="H170" s="54"/>
      <x:c r="I170" s="46"/>
      <x:c r="J170" s="46"/>
      <x:c r="K170" s="56"/>
      <x:c r="L170" s="56"/>
      <x:c r="M170" s="56"/>
      <x:c r="N170" s="48"/>
      <x:c r="O170" s="72"/>
    </x:row>
    <x:row r="171">
      <x:c r="A171" s="50"/>
      <x:c r="B171" s="52"/>
      <x:c r="C171" s="46"/>
      <x:c r="D171" s="46"/>
      <x:c r="E171" s="46"/>
      <x:c r="F171" s="46"/>
      <x:c r="G171" s="72"/>
      <x:c r="H171" s="54"/>
      <x:c r="I171" s="46"/>
      <x:c r="J171" s="46"/>
      <x:c r="K171" s="56"/>
      <x:c r="L171" s="56"/>
      <x:c r="M171" s="56"/>
      <x:c r="N171" s="48"/>
      <x:c r="O171" s="72"/>
    </x:row>
    <x:row r="172">
      <x:c r="A172" s="50"/>
      <x:c r="B172" s="52"/>
      <x:c r="C172" s="46"/>
      <x:c r="D172" s="46"/>
      <x:c r="E172" s="46"/>
      <x:c r="F172" s="46"/>
      <x:c r="G172" s="72"/>
      <x:c r="H172" s="54"/>
      <x:c r="I172" s="46"/>
      <x:c r="J172" s="46"/>
      <x:c r="K172" s="56"/>
      <x:c r="L172" s="56"/>
      <x:c r="M172" s="56"/>
      <x:c r="N172" s="48"/>
      <x:c r="O172" s="72"/>
    </x:row>
    <x:row r="173">
      <x:c r="A173" s="50"/>
      <x:c r="B173" s="52"/>
      <x:c r="C173" s="46"/>
      <x:c r="D173" s="46"/>
      <x:c r="E173" s="46"/>
      <x:c r="F173" s="46"/>
      <x:c r="G173" s="72"/>
      <x:c r="H173" s="54"/>
      <x:c r="I173" s="46"/>
      <x:c r="J173" s="46"/>
      <x:c r="K173" s="56"/>
      <x:c r="L173" s="56"/>
      <x:c r="M173" s="56"/>
      <x:c r="N173" s="48"/>
      <x:c r="O173" s="72"/>
    </x:row>
    <x:row r="174">
      <x:c r="A174" s="50"/>
      <x:c r="B174" s="52"/>
      <x:c r="C174" s="46"/>
      <x:c r="D174" s="46"/>
      <x:c r="E174" s="46"/>
      <x:c r="F174" s="46"/>
      <x:c r="G174" s="72"/>
      <x:c r="H174" s="54"/>
      <x:c r="I174" s="46"/>
      <x:c r="J174" s="46"/>
      <x:c r="K174" s="56"/>
      <x:c r="L174" s="56"/>
      <x:c r="M174" s="56"/>
      <x:c r="N174" s="48"/>
      <x:c r="O174" s="72"/>
    </x:row>
    <x:row r="175">
      <x:c r="A175" s="50"/>
      <x:c r="B175" s="52"/>
      <x:c r="C175" s="46"/>
      <x:c r="D175" s="46"/>
      <x:c r="E175" s="46"/>
      <x:c r="F175" s="46"/>
      <x:c r="G175" s="72"/>
      <x:c r="H175" s="54"/>
      <x:c r="I175" s="46"/>
      <x:c r="J175" s="46"/>
      <x:c r="K175" s="56"/>
      <x:c r="L175" s="56"/>
      <x:c r="M175" s="56"/>
      <x:c r="N175" s="48"/>
      <x:c r="O175" s="72"/>
    </x:row>
    <x:row r="176">
      <x:c r="A176" s="50"/>
      <x:c r="B176" s="52"/>
      <x:c r="C176" s="46"/>
      <x:c r="D176" s="46"/>
      <x:c r="E176" s="46"/>
      <x:c r="F176" s="46"/>
      <x:c r="G176" s="72"/>
      <x:c r="H176" s="54"/>
      <x:c r="I176" s="46"/>
      <x:c r="J176" s="46"/>
      <x:c r="K176" s="56"/>
      <x:c r="L176" s="56"/>
      <x:c r="M176" s="56"/>
      <x:c r="N176" s="48"/>
      <x:c r="O176" s="72"/>
    </x:row>
    <x:row r="177">
      <x:c r="A177" s="50"/>
      <x:c r="B177" s="52"/>
      <x:c r="C177" s="46"/>
      <x:c r="D177" s="46"/>
      <x:c r="E177" s="46"/>
      <x:c r="F177" s="46"/>
      <x:c r="G177" s="72"/>
      <x:c r="H177" s="54"/>
      <x:c r="I177" s="46"/>
      <x:c r="J177" s="46"/>
      <x:c r="K177" s="56"/>
      <x:c r="L177" s="56"/>
      <x:c r="M177" s="56"/>
      <x:c r="N177" s="48"/>
      <x:c r="O177" s="72"/>
    </x:row>
    <x:row r="178">
      <x:c r="A178" s="50"/>
      <x:c r="B178" s="52"/>
      <x:c r="C178" s="46"/>
      <x:c r="D178" s="46"/>
      <x:c r="E178" s="46"/>
      <x:c r="F178" s="46"/>
      <x:c r="G178" s="72"/>
      <x:c r="H178" s="54"/>
      <x:c r="I178" s="46"/>
      <x:c r="J178" s="46"/>
      <x:c r="K178" s="56"/>
      <x:c r="L178" s="56"/>
      <x:c r="M178" s="56"/>
      <x:c r="N178" s="48"/>
      <x:c r="O178" s="72"/>
    </x:row>
    <x:row r="179">
      <x:c r="A179" s="50"/>
      <x:c r="B179" s="52"/>
      <x:c r="C179" s="46"/>
      <x:c r="D179" s="46"/>
      <x:c r="E179" s="46"/>
      <x:c r="F179" s="46"/>
      <x:c r="G179" s="72"/>
      <x:c r="H179" s="54"/>
      <x:c r="I179" s="46"/>
      <x:c r="J179" s="46"/>
      <x:c r="K179" s="56"/>
      <x:c r="L179" s="56"/>
      <x:c r="M179" s="56"/>
      <x:c r="N179" s="48"/>
      <x:c r="O179" s="72"/>
    </x:row>
    <x:row r="180">
      <x:c r="A180" s="50"/>
      <x:c r="B180" s="52"/>
      <x:c r="C180" s="46"/>
      <x:c r="D180" s="46"/>
      <x:c r="E180" s="46"/>
      <x:c r="F180" s="46"/>
      <x:c r="G180" s="72"/>
      <x:c r="H180" s="54"/>
      <x:c r="I180" s="46"/>
      <x:c r="J180" s="46"/>
      <x:c r="K180" s="56"/>
      <x:c r="L180" s="56"/>
      <x:c r="M180" s="56"/>
      <x:c r="N180" s="48"/>
      <x:c r="O180" s="72"/>
    </x:row>
    <x:row r="181">
      <x:c r="A181" s="50"/>
      <x:c r="B181" s="52"/>
      <x:c r="C181" s="46"/>
      <x:c r="D181" s="46"/>
      <x:c r="E181" s="46"/>
      <x:c r="F181" s="46"/>
      <x:c r="G181" s="72"/>
      <x:c r="H181" s="54"/>
      <x:c r="I181" s="46"/>
      <x:c r="J181" s="46"/>
      <x:c r="K181" s="56"/>
      <x:c r="L181" s="56"/>
      <x:c r="M181" s="56"/>
      <x:c r="N181" s="48"/>
      <x:c r="O181" s="72"/>
    </x:row>
    <x:row r="182">
      <x:c r="A182" s="50"/>
      <x:c r="B182" s="52"/>
      <x:c r="C182" s="46"/>
      <x:c r="D182" s="46"/>
      <x:c r="E182" s="46"/>
      <x:c r="F182" s="46"/>
      <x:c r="G182" s="72"/>
      <x:c r="H182" s="54"/>
      <x:c r="I182" s="46"/>
      <x:c r="J182" s="46"/>
      <x:c r="K182" s="56"/>
      <x:c r="L182" s="56"/>
      <x:c r="M182" s="56"/>
      <x:c r="N182" s="48"/>
      <x:c r="O182" s="72"/>
    </x:row>
    <x:row r="183">
      <x:c r="A183" s="50"/>
      <x:c r="B183" s="52"/>
      <x:c r="C183" s="46"/>
      <x:c r="D183" s="46"/>
      <x:c r="E183" s="46"/>
      <x:c r="F183" s="46"/>
      <x:c r="G183" s="72"/>
      <x:c r="H183" s="54"/>
      <x:c r="I183" s="46"/>
      <x:c r="J183" s="46"/>
      <x:c r="K183" s="56"/>
      <x:c r="L183" s="56"/>
      <x:c r="M183" s="56"/>
      <x:c r="N183" s="48"/>
      <x:c r="O183" s="72"/>
    </x:row>
    <x:row r="184">
      <x:c r="A184" s="50"/>
      <x:c r="B184" s="52"/>
      <x:c r="C184" s="46"/>
      <x:c r="D184" s="46"/>
      <x:c r="E184" s="46"/>
      <x:c r="F184" s="46"/>
      <x:c r="G184" s="72"/>
      <x:c r="H184" s="54"/>
      <x:c r="I184" s="46"/>
      <x:c r="J184" s="46"/>
      <x:c r="K184" s="56"/>
      <x:c r="L184" s="56"/>
      <x:c r="M184" s="56"/>
      <x:c r="N184" s="48"/>
      <x:c r="O184" s="72"/>
    </x:row>
    <x:row r="185">
      <x:c r="A185" s="50"/>
      <x:c r="B185" s="52"/>
      <x:c r="C185" s="46"/>
      <x:c r="D185" s="46"/>
      <x:c r="E185" s="46"/>
      <x:c r="F185" s="46"/>
      <x:c r="G185" s="72"/>
      <x:c r="H185" s="54"/>
      <x:c r="I185" s="46"/>
      <x:c r="J185" s="46"/>
      <x:c r="K185" s="56"/>
      <x:c r="L185" s="56"/>
      <x:c r="M185" s="56"/>
      <x:c r="N185" s="48"/>
      <x:c r="O185" s="72"/>
    </x:row>
    <x:row r="186">
      <x:c r="A186" s="50"/>
      <x:c r="B186" s="52"/>
      <x:c r="C186" s="46"/>
      <x:c r="D186" s="46"/>
      <x:c r="E186" s="46"/>
      <x:c r="F186" s="46"/>
      <x:c r="G186" s="72"/>
      <x:c r="H186" s="54"/>
      <x:c r="I186" s="46"/>
      <x:c r="J186" s="46"/>
      <x:c r="K186" s="56"/>
      <x:c r="L186" s="56"/>
      <x:c r="M186" s="56"/>
      <x:c r="N186" s="48"/>
      <x:c r="O186" s="72"/>
    </x:row>
    <x:row r="187">
      <x:c r="A187" s="50"/>
      <x:c r="B187" s="52"/>
      <x:c r="C187" s="46"/>
      <x:c r="D187" s="46"/>
      <x:c r="E187" s="46"/>
      <x:c r="F187" s="46"/>
      <x:c r="G187" s="72"/>
      <x:c r="H187" s="54"/>
      <x:c r="I187" s="46"/>
      <x:c r="J187" s="46"/>
      <x:c r="K187" s="56"/>
      <x:c r="L187" s="56"/>
      <x:c r="M187" s="56"/>
      <x:c r="N187" s="48"/>
      <x:c r="O187" s="72"/>
    </x:row>
    <x:row r="188">
      <x:c r="A188" s="50"/>
      <x:c r="B188" s="52"/>
      <x:c r="C188" s="46"/>
      <x:c r="D188" s="46"/>
      <x:c r="E188" s="46"/>
      <x:c r="F188" s="46"/>
      <x:c r="G188" s="72"/>
      <x:c r="H188" s="54"/>
      <x:c r="I188" s="46"/>
      <x:c r="J188" s="46"/>
      <x:c r="K188" s="56"/>
      <x:c r="L188" s="56"/>
      <x:c r="M188" s="56"/>
      <x:c r="N188" s="48"/>
      <x:c r="O188" s="72"/>
    </x:row>
    <x:row r="189">
      <x:c r="A189" s="50"/>
      <x:c r="B189" s="52"/>
      <x:c r="C189" s="46"/>
      <x:c r="D189" s="46"/>
      <x:c r="E189" s="46"/>
      <x:c r="F189" s="46"/>
      <x:c r="G189" s="72"/>
      <x:c r="H189" s="54"/>
      <x:c r="I189" s="46"/>
      <x:c r="J189" s="46"/>
      <x:c r="K189" s="56"/>
      <x:c r="L189" s="56"/>
      <x:c r="M189" s="56"/>
      <x:c r="N189" s="48"/>
      <x:c r="O189" s="72"/>
    </x:row>
    <x:row r="190">
      <x:c r="A190" s="50"/>
      <x:c r="B190" s="52"/>
      <x:c r="C190" s="46"/>
      <x:c r="D190" s="46"/>
      <x:c r="E190" s="46"/>
      <x:c r="F190" s="46"/>
      <x:c r="G190" s="72"/>
      <x:c r="H190" s="54"/>
      <x:c r="I190" s="46"/>
      <x:c r="J190" s="46"/>
      <x:c r="K190" s="56"/>
      <x:c r="L190" s="56"/>
      <x:c r="M190" s="56"/>
      <x:c r="N190" s="48"/>
      <x:c r="O190" s="72"/>
    </x:row>
    <x:row r="191">
      <x:c r="A191" s="50"/>
      <x:c r="B191" s="52"/>
      <x:c r="C191" s="46"/>
      <x:c r="D191" s="46"/>
      <x:c r="E191" s="46"/>
      <x:c r="F191" s="46"/>
      <x:c r="G191" s="72"/>
      <x:c r="H191" s="54"/>
      <x:c r="I191" s="46"/>
      <x:c r="J191" s="46"/>
      <x:c r="K191" s="56"/>
      <x:c r="L191" s="56"/>
      <x:c r="M191" s="56"/>
      <x:c r="N191" s="48"/>
      <x:c r="O191" s="72"/>
    </x:row>
    <x:row r="192">
      <x:c r="A192" s="50"/>
      <x:c r="B192" s="52"/>
      <x:c r="C192" s="46"/>
      <x:c r="D192" s="46"/>
      <x:c r="E192" s="46"/>
      <x:c r="F192" s="46"/>
      <x:c r="G192" s="72"/>
      <x:c r="H192" s="54"/>
      <x:c r="I192" s="46"/>
      <x:c r="J192" s="46"/>
      <x:c r="K192" s="56"/>
      <x:c r="L192" s="56"/>
      <x:c r="M192" s="56"/>
      <x:c r="N192" s="48"/>
      <x:c r="O192" s="72"/>
    </x:row>
    <x:row r="193">
      <x:c r="A193" s="50"/>
      <x:c r="B193" s="52"/>
      <x:c r="C193" s="46"/>
      <x:c r="D193" s="46"/>
      <x:c r="E193" s="46"/>
      <x:c r="F193" s="46"/>
      <x:c r="G193" s="72"/>
      <x:c r="H193" s="54"/>
      <x:c r="I193" s="46"/>
      <x:c r="J193" s="46"/>
      <x:c r="K193" s="56"/>
      <x:c r="L193" s="56"/>
      <x:c r="M193" s="56"/>
      <x:c r="N193" s="48"/>
      <x:c r="O193" s="72"/>
    </x:row>
    <x:row r="194">
      <x:c r="A194" s="50"/>
      <x:c r="B194" s="52"/>
      <x:c r="C194" s="46"/>
      <x:c r="D194" s="46"/>
      <x:c r="E194" s="46"/>
      <x:c r="F194" s="46"/>
      <x:c r="G194" s="72"/>
      <x:c r="H194" s="54"/>
      <x:c r="I194" s="46"/>
      <x:c r="J194" s="46"/>
      <x:c r="K194" s="56"/>
      <x:c r="L194" s="56"/>
      <x:c r="M194" s="56"/>
      <x:c r="N194" s="48"/>
      <x:c r="O194" s="72"/>
    </x:row>
    <x:row r="195">
      <x:c r="A195" s="50"/>
      <x:c r="B195" s="52"/>
      <x:c r="C195" s="46"/>
      <x:c r="D195" s="46"/>
      <x:c r="E195" s="46"/>
      <x:c r="F195" s="46"/>
      <x:c r="G195" s="72"/>
      <x:c r="H195" s="54"/>
      <x:c r="I195" s="46"/>
      <x:c r="J195" s="46"/>
      <x:c r="K195" s="56"/>
      <x:c r="L195" s="56"/>
      <x:c r="M195" s="56"/>
      <x:c r="N195" s="48"/>
      <x:c r="O195" s="72"/>
    </x:row>
    <x:row r="196">
      <x:c r="A196" s="50"/>
      <x:c r="B196" s="52"/>
      <x:c r="C196" s="46"/>
      <x:c r="D196" s="46"/>
      <x:c r="E196" s="46"/>
      <x:c r="F196" s="46"/>
      <x:c r="G196" s="72"/>
      <x:c r="H196" s="54"/>
      <x:c r="I196" s="46"/>
      <x:c r="J196" s="46"/>
      <x:c r="K196" s="56"/>
      <x:c r="L196" s="56"/>
      <x:c r="M196" s="56"/>
      <x:c r="N196" s="48"/>
      <x:c r="O196" s="72"/>
    </x:row>
    <x:row r="197">
      <x:c r="A197" s="50"/>
      <x:c r="B197" s="52"/>
      <x:c r="C197" s="46"/>
      <x:c r="D197" s="46"/>
      <x:c r="E197" s="46"/>
      <x:c r="F197" s="46"/>
      <x:c r="G197" s="72"/>
      <x:c r="H197" s="54"/>
      <x:c r="I197" s="46"/>
      <x:c r="J197" s="46"/>
      <x:c r="K197" s="56"/>
      <x:c r="L197" s="56"/>
      <x:c r="M197" s="56"/>
      <x:c r="N197" s="48"/>
      <x:c r="O197" s="72"/>
    </x:row>
    <x:row r="198">
      <x:c r="A198" s="50"/>
      <x:c r="B198" s="52"/>
      <x:c r="C198" s="46"/>
      <x:c r="D198" s="46"/>
      <x:c r="E198" s="46"/>
      <x:c r="F198" s="46"/>
      <x:c r="G198" s="72"/>
      <x:c r="H198" s="54"/>
      <x:c r="I198" s="46"/>
      <x:c r="J198" s="46"/>
      <x:c r="K198" s="56"/>
      <x:c r="L198" s="56"/>
      <x:c r="M198" s="56"/>
      <x:c r="N198" s="48"/>
      <x:c r="O198" s="72"/>
    </x:row>
    <x:row r="199">
      <x:c r="A199" s="50"/>
      <x:c r="B199" s="52"/>
      <x:c r="C199" s="46"/>
      <x:c r="D199" s="46"/>
      <x:c r="E199" s="46"/>
      <x:c r="F199" s="46"/>
      <x:c r="G199" s="72"/>
      <x:c r="H199" s="54"/>
      <x:c r="I199" s="46"/>
      <x:c r="J199" s="46"/>
      <x:c r="K199" s="56"/>
      <x:c r="L199" s="56"/>
      <x:c r="M199" s="56"/>
      <x:c r="N199" s="48"/>
      <x:c r="O199" s="72"/>
    </x:row>
    <x:row r="200">
      <x:c r="A200" s="50"/>
      <x:c r="B200" s="52"/>
      <x:c r="C200" s="46"/>
      <x:c r="D200" s="46"/>
      <x:c r="E200" s="46"/>
      <x:c r="F200" s="46"/>
      <x:c r="G200" s="72"/>
      <x:c r="H200" s="54"/>
      <x:c r="I200" s="46"/>
      <x:c r="J200" s="46"/>
      <x:c r="K200" s="56"/>
      <x:c r="L200" s="56"/>
      <x:c r="M200" s="56"/>
      <x:c r="N200" s="48"/>
      <x:c r="O200" s="72"/>
    </x:row>
    <x:row r="201">
      <x:c r="A201" s="50"/>
      <x:c r="B201" s="52"/>
      <x:c r="C201" s="46"/>
      <x:c r="D201" s="46"/>
      <x:c r="E201" s="46"/>
      <x:c r="F201" s="46"/>
      <x:c r="G201" s="72"/>
      <x:c r="H201" s="54"/>
      <x:c r="I201" s="46"/>
      <x:c r="J201" s="46"/>
      <x:c r="K201" s="56"/>
      <x:c r="L201" s="56"/>
      <x:c r="M201" s="56"/>
      <x:c r="N201" s="48"/>
      <x:c r="O201" s="72"/>
    </x:row>
    <x:row r="202">
      <x:c r="A202" s="50"/>
      <x:c r="B202" s="52"/>
      <x:c r="C202" s="46"/>
      <x:c r="D202" s="46"/>
      <x:c r="E202" s="46"/>
      <x:c r="F202" s="46"/>
      <x:c r="G202" s="72"/>
      <x:c r="H202" s="54"/>
      <x:c r="I202" s="46"/>
      <x:c r="J202" s="46"/>
      <x:c r="K202" s="56"/>
      <x:c r="L202" s="56"/>
      <x:c r="M202" s="56"/>
      <x:c r="N202" s="48"/>
      <x:c r="O202" s="72"/>
    </x:row>
    <x:row r="203">
      <x:c r="A203" s="50"/>
      <x:c r="B203" s="52"/>
      <x:c r="C203" s="46"/>
      <x:c r="D203" s="46"/>
      <x:c r="E203" s="46"/>
      <x:c r="F203" s="46"/>
      <x:c r="G203" s="72"/>
      <x:c r="H203" s="54"/>
      <x:c r="I203" s="46"/>
      <x:c r="J203" s="46"/>
      <x:c r="K203" s="56"/>
      <x:c r="L203" s="56"/>
      <x:c r="M203" s="56"/>
      <x:c r="N203" s="48"/>
      <x:c r="O203" s="72"/>
    </x:row>
    <x:row r="204">
      <x:c r="A204" s="50"/>
      <x:c r="B204" s="52"/>
      <x:c r="C204" s="46"/>
      <x:c r="D204" s="46"/>
      <x:c r="E204" s="46"/>
      <x:c r="F204" s="46"/>
      <x:c r="G204" s="72"/>
      <x:c r="H204" s="54"/>
      <x:c r="I204" s="46"/>
      <x:c r="J204" s="46"/>
      <x:c r="K204" s="56"/>
      <x:c r="L204" s="56"/>
      <x:c r="M204" s="56"/>
      <x:c r="N204" s="48"/>
      <x:c r="O204" s="72"/>
    </x:row>
    <x:row r="205">
      <x:c r="A205" s="50"/>
      <x:c r="B205" s="52"/>
      <x:c r="C205" s="46"/>
      <x:c r="D205" s="46"/>
      <x:c r="E205" s="46"/>
      <x:c r="F205" s="46"/>
      <x:c r="G205" s="72"/>
      <x:c r="H205" s="54"/>
      <x:c r="I205" s="46"/>
      <x:c r="J205" s="46"/>
      <x:c r="K205" s="56"/>
      <x:c r="L205" s="56"/>
      <x:c r="M205" s="56"/>
      <x:c r="N205" s="48"/>
      <x:c r="O205" s="72"/>
    </x:row>
    <x:row r="206">
      <x:c r="A206" s="50"/>
      <x:c r="B206" s="52"/>
      <x:c r="C206" s="46"/>
      <x:c r="D206" s="46"/>
      <x:c r="E206" s="46"/>
      <x:c r="F206" s="46"/>
      <x:c r="G206" s="72"/>
      <x:c r="H206" s="54"/>
      <x:c r="I206" s="46"/>
      <x:c r="J206" s="46"/>
      <x:c r="K206" s="56"/>
      <x:c r="L206" s="56"/>
      <x:c r="M206" s="56"/>
      <x:c r="N206" s="48"/>
      <x:c r="O206" s="72"/>
    </x:row>
    <x:row r="207">
      <x:c r="A207" s="50"/>
      <x:c r="B207" s="52"/>
      <x:c r="C207" s="46"/>
      <x:c r="D207" s="46"/>
      <x:c r="E207" s="46"/>
      <x:c r="F207" s="46"/>
      <x:c r="G207" s="72"/>
      <x:c r="H207" s="54"/>
      <x:c r="I207" s="46"/>
      <x:c r="J207" s="46"/>
      <x:c r="K207" s="56"/>
      <x:c r="L207" s="56"/>
      <x:c r="M207" s="56"/>
      <x:c r="N207" s="48"/>
      <x:c r="O207" s="72"/>
    </x:row>
    <x:row r="208">
      <x:c r="A208" s="50"/>
      <x:c r="B208" s="52"/>
      <x:c r="C208" s="46"/>
      <x:c r="D208" s="46"/>
      <x:c r="E208" s="46"/>
      <x:c r="F208" s="46"/>
      <x:c r="G208" s="72"/>
      <x:c r="H208" s="54"/>
      <x:c r="I208" s="46"/>
      <x:c r="J208" s="46"/>
      <x:c r="K208" s="56"/>
      <x:c r="L208" s="56"/>
      <x:c r="M208" s="56"/>
      <x:c r="N208" s="48"/>
      <x:c r="O208" s="72"/>
    </x:row>
    <x:row r="209">
      <x:c r="A209" s="50"/>
      <x:c r="B209" s="52"/>
      <x:c r="C209" s="46"/>
      <x:c r="D209" s="46"/>
      <x:c r="E209" s="46"/>
      <x:c r="F209" s="46"/>
      <x:c r="G209" s="72"/>
      <x:c r="H209" s="54"/>
      <x:c r="I209" s="46"/>
      <x:c r="J209" s="46"/>
      <x:c r="K209" s="56"/>
      <x:c r="L209" s="56"/>
      <x:c r="M209" s="56"/>
      <x:c r="N209" s="48"/>
      <x:c r="O209" s="72"/>
    </x:row>
    <x:row r="210">
      <x:c r="A210" s="50"/>
      <x:c r="B210" s="52"/>
      <x:c r="C210" s="46"/>
      <x:c r="D210" s="46"/>
      <x:c r="E210" s="46"/>
      <x:c r="F210" s="46"/>
      <x:c r="G210" s="72"/>
      <x:c r="H210" s="54"/>
      <x:c r="I210" s="46"/>
      <x:c r="J210" s="46"/>
      <x:c r="K210" s="56"/>
      <x:c r="L210" s="56"/>
      <x:c r="M210" s="56"/>
      <x:c r="N210" s="48"/>
      <x:c r="O210" s="72"/>
    </x:row>
    <x:row r="211">
      <x:c r="A211" s="50"/>
      <x:c r="B211" s="52"/>
      <x:c r="C211" s="46"/>
      <x:c r="D211" s="46"/>
      <x:c r="E211" s="46"/>
      <x:c r="F211" s="46"/>
      <x:c r="G211" s="72"/>
      <x:c r="H211" s="54"/>
      <x:c r="I211" s="46"/>
      <x:c r="J211" s="46"/>
      <x:c r="K211" s="56"/>
      <x:c r="L211" s="56"/>
      <x:c r="M211" s="56"/>
      <x:c r="N211" s="48"/>
      <x:c r="O211" s="72"/>
    </x:row>
    <x:row r="212">
      <x:c r="A212" s="50"/>
      <x:c r="B212" s="52"/>
      <x:c r="C212" s="46"/>
      <x:c r="D212" s="46"/>
      <x:c r="E212" s="46"/>
      <x:c r="F212" s="46"/>
      <x:c r="G212" s="72"/>
      <x:c r="H212" s="54"/>
      <x:c r="I212" s="46"/>
      <x:c r="J212" s="46"/>
      <x:c r="K212" s="56"/>
      <x:c r="L212" s="56"/>
      <x:c r="M212" s="56"/>
      <x:c r="N212" s="48"/>
      <x:c r="O212" s="72"/>
    </x:row>
    <x:row r="213">
      <x:c r="A213" s="50"/>
      <x:c r="B213" s="52"/>
      <x:c r="C213" s="46"/>
      <x:c r="D213" s="46"/>
      <x:c r="E213" s="46"/>
      <x:c r="F213" s="46"/>
      <x:c r="G213" s="72"/>
      <x:c r="H213" s="54"/>
      <x:c r="I213" s="46"/>
      <x:c r="J213" s="46"/>
      <x:c r="K213" s="56"/>
      <x:c r="L213" s="56"/>
      <x:c r="M213" s="56"/>
      <x:c r="N213" s="48"/>
      <x:c r="O213" s="72"/>
    </x:row>
    <x:row r="214">
      <x:c r="A214" s="50"/>
      <x:c r="B214" s="52"/>
      <x:c r="C214" s="46"/>
      <x:c r="D214" s="46"/>
      <x:c r="E214" s="46"/>
      <x:c r="F214" s="46"/>
      <x:c r="G214" s="72"/>
      <x:c r="H214" s="54"/>
      <x:c r="I214" s="46"/>
      <x:c r="J214" s="46"/>
      <x:c r="K214" s="56"/>
      <x:c r="L214" s="56"/>
      <x:c r="M214" s="56"/>
      <x:c r="N214" s="48"/>
      <x:c r="O214" s="72"/>
    </x:row>
    <x:row r="215">
      <x:c r="A215" s="50"/>
      <x:c r="B215" s="52"/>
      <x:c r="C215" s="46"/>
      <x:c r="D215" s="46"/>
      <x:c r="E215" s="46"/>
      <x:c r="F215" s="46"/>
      <x:c r="G215" s="72"/>
      <x:c r="H215" s="54"/>
      <x:c r="I215" s="46"/>
      <x:c r="J215" s="46"/>
      <x:c r="K215" s="56"/>
      <x:c r="L215" s="56"/>
      <x:c r="M215" s="56"/>
      <x:c r="N215" s="48"/>
      <x:c r="O215" s="72"/>
    </x:row>
    <x:row r="216">
      <x:c r="A216" s="50"/>
      <x:c r="B216" s="52"/>
      <x:c r="C216" s="46"/>
      <x:c r="D216" s="46"/>
      <x:c r="E216" s="46"/>
      <x:c r="F216" s="46"/>
      <x:c r="G216" s="72"/>
      <x:c r="H216" s="54"/>
      <x:c r="I216" s="46"/>
      <x:c r="J216" s="46"/>
      <x:c r="K216" s="56"/>
      <x:c r="L216" s="56"/>
      <x:c r="M216" s="56"/>
      <x:c r="N216" s="48"/>
      <x:c r="O216" s="72"/>
    </x:row>
    <x:row r="217">
      <x:c r="A217" s="50"/>
      <x:c r="B217" s="52"/>
      <x:c r="C217" s="46"/>
      <x:c r="D217" s="46"/>
      <x:c r="E217" s="46"/>
      <x:c r="F217" s="46"/>
      <x:c r="G217" s="72"/>
      <x:c r="H217" s="54"/>
      <x:c r="I217" s="46"/>
      <x:c r="J217" s="46"/>
      <x:c r="K217" s="56"/>
      <x:c r="L217" s="56"/>
      <x:c r="M217" s="56"/>
      <x:c r="N217" s="48"/>
      <x:c r="O217" s="72"/>
    </x:row>
    <x:row r="218">
      <x:c r="A218" s="50"/>
      <x:c r="B218" s="52"/>
      <x:c r="C218" s="46"/>
      <x:c r="D218" s="46"/>
      <x:c r="E218" s="46"/>
      <x:c r="F218" s="46"/>
      <x:c r="G218" s="72"/>
      <x:c r="H218" s="54"/>
      <x:c r="I218" s="46"/>
      <x:c r="J218" s="46"/>
      <x:c r="K218" s="56"/>
      <x:c r="L218" s="56"/>
      <x:c r="M218" s="56"/>
      <x:c r="N218" s="48"/>
      <x:c r="O218" s="72"/>
    </x:row>
    <x:row r="219">
      <x:c r="A219" s="50"/>
      <x:c r="B219" s="52"/>
      <x:c r="C219" s="46"/>
      <x:c r="D219" s="46"/>
      <x:c r="E219" s="46"/>
      <x:c r="F219" s="46"/>
      <x:c r="G219" s="72"/>
      <x:c r="H219" s="54"/>
      <x:c r="I219" s="46"/>
      <x:c r="J219" s="46"/>
      <x:c r="K219" s="56"/>
      <x:c r="L219" s="56"/>
      <x:c r="M219" s="56"/>
      <x:c r="N219" s="48"/>
      <x:c r="O219" s="72"/>
    </x:row>
    <x:row r="220">
      <x:c r="A220" s="50"/>
      <x:c r="B220" s="52"/>
      <x:c r="C220" s="46"/>
      <x:c r="D220" s="46"/>
      <x:c r="E220" s="46"/>
      <x:c r="F220" s="46"/>
      <x:c r="G220" s="72"/>
      <x:c r="H220" s="54"/>
      <x:c r="I220" s="46"/>
      <x:c r="J220" s="46"/>
      <x:c r="K220" s="56"/>
      <x:c r="L220" s="56"/>
      <x:c r="M220" s="56"/>
      <x:c r="N220" s="48"/>
      <x:c r="O220" s="72"/>
    </x:row>
    <x:row r="221">
      <x:c r="A221" s="50"/>
      <x:c r="B221" s="52"/>
      <x:c r="C221" s="46"/>
      <x:c r="D221" s="46"/>
      <x:c r="E221" s="46"/>
      <x:c r="F221" s="46"/>
      <x:c r="G221" s="72"/>
      <x:c r="H221" s="54"/>
      <x:c r="I221" s="46"/>
      <x:c r="J221" s="46"/>
      <x:c r="K221" s="56"/>
      <x:c r="L221" s="56"/>
      <x:c r="M221" s="56"/>
      <x:c r="N221" s="48"/>
      <x:c r="O221" s="72"/>
    </x:row>
    <x:row r="222">
      <x:c r="A222" s="50"/>
      <x:c r="B222" s="52"/>
      <x:c r="C222" s="46"/>
      <x:c r="D222" s="46"/>
      <x:c r="E222" s="46"/>
      <x:c r="F222" s="46"/>
      <x:c r="G222" s="72"/>
      <x:c r="H222" s="54"/>
      <x:c r="I222" s="46"/>
      <x:c r="J222" s="46"/>
      <x:c r="K222" s="56"/>
      <x:c r="L222" s="56"/>
      <x:c r="M222" s="56"/>
      <x:c r="N222" s="48"/>
      <x:c r="O222" s="72"/>
    </x:row>
    <x:row r="223">
      <x:c r="A223" s="50"/>
      <x:c r="B223" s="52"/>
      <x:c r="C223" s="46"/>
      <x:c r="D223" s="46"/>
      <x:c r="E223" s="46"/>
      <x:c r="F223" s="46"/>
      <x:c r="G223" s="72"/>
      <x:c r="H223" s="54"/>
      <x:c r="I223" s="46"/>
      <x:c r="J223" s="46"/>
      <x:c r="K223" s="56"/>
      <x:c r="L223" s="56"/>
      <x:c r="M223" s="56"/>
      <x:c r="N223" s="48"/>
      <x:c r="O223" s="72"/>
    </x:row>
    <x:row r="224">
      <x:c r="A224" s="50"/>
      <x:c r="B224" s="52"/>
      <x:c r="C224" s="46"/>
      <x:c r="D224" s="46"/>
      <x:c r="E224" s="46"/>
      <x:c r="F224" s="46"/>
      <x:c r="G224" s="72"/>
      <x:c r="H224" s="54"/>
      <x:c r="I224" s="46"/>
      <x:c r="J224" s="46"/>
      <x:c r="K224" s="56"/>
      <x:c r="L224" s="56"/>
      <x:c r="M224" s="56"/>
      <x:c r="N224" s="48"/>
      <x:c r="O224" s="72"/>
    </x:row>
    <x:row r="225">
      <x:c r="A225" s="50"/>
      <x:c r="B225" s="52"/>
      <x:c r="C225" s="46"/>
      <x:c r="D225" s="46"/>
      <x:c r="E225" s="46"/>
      <x:c r="F225" s="46"/>
      <x:c r="G225" s="72"/>
      <x:c r="H225" s="54"/>
      <x:c r="I225" s="46"/>
      <x:c r="J225" s="46"/>
      <x:c r="K225" s="56"/>
      <x:c r="L225" s="56"/>
      <x:c r="M225" s="56"/>
      <x:c r="N225" s="48"/>
      <x:c r="O225" s="72"/>
    </x:row>
    <x:row r="226">
      <x:c r="A226" s="50"/>
      <x:c r="B226" s="52"/>
      <x:c r="C226" s="46"/>
      <x:c r="D226" s="46"/>
      <x:c r="E226" s="46"/>
      <x:c r="F226" s="46"/>
      <x:c r="G226" s="72"/>
      <x:c r="H226" s="54"/>
      <x:c r="I226" s="46"/>
      <x:c r="J226" s="46"/>
      <x:c r="K226" s="56"/>
      <x:c r="L226" s="56"/>
      <x:c r="M226" s="56"/>
      <x:c r="N226" s="48"/>
      <x:c r="O226" s="72"/>
    </x:row>
    <x:row r="227">
      <x:c r="A227" s="50"/>
      <x:c r="B227" s="52"/>
      <x:c r="C227" s="46"/>
      <x:c r="D227" s="46"/>
      <x:c r="E227" s="46"/>
      <x:c r="F227" s="46"/>
      <x:c r="G227" s="72"/>
      <x:c r="H227" s="54"/>
      <x:c r="I227" s="46"/>
      <x:c r="J227" s="46"/>
      <x:c r="K227" s="56"/>
      <x:c r="L227" s="56"/>
      <x:c r="M227" s="56"/>
      <x:c r="N227" s="48"/>
      <x:c r="O227" s="72"/>
    </x:row>
    <x:row r="228">
      <x:c r="A228" s="50"/>
      <x:c r="B228" s="52"/>
      <x:c r="C228" s="46"/>
      <x:c r="D228" s="46"/>
      <x:c r="E228" s="46"/>
      <x:c r="F228" s="46"/>
      <x:c r="G228" s="72"/>
      <x:c r="H228" s="54"/>
      <x:c r="I228" s="46"/>
      <x:c r="J228" s="46"/>
      <x:c r="K228" s="56"/>
      <x:c r="L228" s="56"/>
      <x:c r="M228" s="56"/>
      <x:c r="N228" s="48"/>
      <x:c r="O228" s="72"/>
    </x:row>
    <x:row r="229">
      <x:c r="A229" s="50"/>
      <x:c r="B229" s="52"/>
      <x:c r="C229" s="46"/>
      <x:c r="D229" s="46"/>
      <x:c r="E229" s="46"/>
      <x:c r="F229" s="46"/>
      <x:c r="G229" s="72"/>
      <x:c r="H229" s="54"/>
      <x:c r="I229" s="46"/>
      <x:c r="J229" s="46"/>
      <x:c r="K229" s="56"/>
      <x:c r="L229" s="56"/>
      <x:c r="M229" s="56"/>
      <x:c r="N229" s="48"/>
      <x:c r="O229" s="72"/>
    </x:row>
    <x:row r="230">
      <x:c r="A230" s="50"/>
      <x:c r="B230" s="52"/>
      <x:c r="C230" s="46"/>
      <x:c r="D230" s="46"/>
      <x:c r="E230" s="46"/>
      <x:c r="F230" s="46"/>
      <x:c r="G230" s="72"/>
      <x:c r="H230" s="54"/>
      <x:c r="I230" s="46"/>
      <x:c r="J230" s="46"/>
      <x:c r="K230" s="56"/>
      <x:c r="L230" s="56"/>
      <x:c r="M230" s="56"/>
      <x:c r="N230" s="48"/>
      <x:c r="O230" s="72"/>
    </x:row>
    <x:row r="231">
      <x:c r="A231" s="50"/>
      <x:c r="B231" s="52"/>
      <x:c r="C231" s="46"/>
      <x:c r="D231" s="46"/>
      <x:c r="E231" s="46"/>
      <x:c r="F231" s="46"/>
      <x:c r="G231" s="72"/>
      <x:c r="H231" s="54"/>
      <x:c r="I231" s="46"/>
      <x:c r="J231" s="46"/>
      <x:c r="K231" s="56"/>
      <x:c r="L231" s="56"/>
      <x:c r="M231" s="56"/>
      <x:c r="N231" s="48"/>
      <x:c r="O231" s="72"/>
    </x:row>
    <x:row r="232">
      <x:c r="A232" s="50"/>
      <x:c r="B232" s="52"/>
      <x:c r="C232" s="46"/>
      <x:c r="D232" s="46"/>
      <x:c r="E232" s="46"/>
      <x:c r="F232" s="46"/>
      <x:c r="G232" s="72"/>
      <x:c r="H232" s="54"/>
      <x:c r="I232" s="46"/>
      <x:c r="J232" s="46"/>
      <x:c r="K232" s="56"/>
      <x:c r="L232" s="56"/>
      <x:c r="M232" s="56"/>
      <x:c r="N232" s="48"/>
      <x:c r="O232" s="72"/>
    </x:row>
    <x:row r="233">
      <x:c r="A233" s="50"/>
      <x:c r="B233" s="52"/>
      <x:c r="C233" s="46"/>
      <x:c r="D233" s="46"/>
      <x:c r="E233" s="46"/>
      <x:c r="F233" s="46"/>
      <x:c r="G233" s="72"/>
      <x:c r="H233" s="54"/>
      <x:c r="I233" s="46"/>
      <x:c r="J233" s="46"/>
      <x:c r="K233" s="56"/>
      <x:c r="L233" s="56"/>
      <x:c r="M233" s="56"/>
      <x:c r="N233" s="48"/>
      <x:c r="O233" s="72"/>
    </x:row>
    <x:row r="234">
      <x:c r="A234" s="50"/>
      <x:c r="B234" s="52"/>
      <x:c r="C234" s="46"/>
      <x:c r="D234" s="46"/>
      <x:c r="E234" s="46"/>
      <x:c r="F234" s="46"/>
      <x:c r="G234" s="72"/>
      <x:c r="H234" s="54"/>
      <x:c r="I234" s="46"/>
      <x:c r="J234" s="46"/>
      <x:c r="K234" s="56"/>
      <x:c r="L234" s="56"/>
      <x:c r="M234" s="56"/>
      <x:c r="N234" s="48"/>
      <x:c r="O234" s="72"/>
    </x:row>
    <x:row r="235">
      <x:c r="A235" s="50"/>
      <x:c r="B235" s="52"/>
      <x:c r="C235" s="46"/>
      <x:c r="D235" s="46"/>
      <x:c r="E235" s="46"/>
      <x:c r="F235" s="46"/>
      <x:c r="G235" s="72"/>
      <x:c r="H235" s="54"/>
      <x:c r="I235" s="46"/>
      <x:c r="J235" s="46"/>
      <x:c r="K235" s="56"/>
      <x:c r="L235" s="56"/>
      <x:c r="M235" s="56"/>
      <x:c r="N235" s="48"/>
      <x:c r="O235" s="72"/>
    </x:row>
    <x:row r="236">
      <x:c r="A236" s="50"/>
      <x:c r="B236" s="52"/>
      <x:c r="C236" s="46"/>
      <x:c r="D236" s="46"/>
      <x:c r="E236" s="46"/>
      <x:c r="F236" s="46"/>
      <x:c r="G236" s="72"/>
      <x:c r="H236" s="54"/>
      <x:c r="I236" s="46"/>
      <x:c r="J236" s="46"/>
      <x:c r="K236" s="56"/>
      <x:c r="L236" s="56"/>
      <x:c r="M236" s="56"/>
      <x:c r="N236" s="48"/>
      <x:c r="O236" s="72"/>
    </x:row>
    <x:row r="237">
      <x:c r="A237" s="50"/>
      <x:c r="B237" s="52"/>
      <x:c r="C237" s="46"/>
      <x:c r="D237" s="46"/>
      <x:c r="E237" s="46"/>
      <x:c r="F237" s="46"/>
      <x:c r="G237" s="72"/>
      <x:c r="H237" s="54"/>
      <x:c r="I237" s="46"/>
      <x:c r="J237" s="46"/>
      <x:c r="K237" s="56"/>
      <x:c r="L237" s="56"/>
      <x:c r="M237" s="56"/>
      <x:c r="N237" s="48"/>
      <x:c r="O237" s="72"/>
    </x:row>
    <x:row r="238">
      <x:c r="A238" s="50"/>
      <x:c r="B238" s="52"/>
      <x:c r="C238" s="46"/>
      <x:c r="D238" s="46"/>
      <x:c r="E238" s="46"/>
      <x:c r="F238" s="46"/>
      <x:c r="G238" s="72"/>
      <x:c r="H238" s="54"/>
      <x:c r="I238" s="46"/>
      <x:c r="J238" s="46"/>
      <x:c r="K238" s="56"/>
      <x:c r="L238" s="56"/>
      <x:c r="M238" s="56"/>
      <x:c r="N238" s="48"/>
      <x:c r="O238" s="72"/>
    </x:row>
    <x:row r="239">
      <x:c r="A239" s="50"/>
      <x:c r="B239" s="52"/>
      <x:c r="C239" s="46"/>
      <x:c r="D239" s="46"/>
      <x:c r="E239" s="46"/>
      <x:c r="F239" s="46"/>
      <x:c r="G239" s="72"/>
      <x:c r="H239" s="54"/>
      <x:c r="I239" s="46"/>
      <x:c r="J239" s="46"/>
      <x:c r="K239" s="56"/>
      <x:c r="L239" s="56"/>
      <x:c r="M239" s="56"/>
      <x:c r="N239" s="48"/>
      <x:c r="O239" s="72"/>
    </x:row>
    <x:row r="240">
      <x:c r="A240" s="50"/>
      <x:c r="B240" s="52"/>
      <x:c r="C240" s="46"/>
      <x:c r="D240" s="46"/>
      <x:c r="E240" s="46"/>
      <x:c r="F240" s="46"/>
      <x:c r="G240" s="72"/>
      <x:c r="H240" s="54"/>
      <x:c r="I240" s="46"/>
      <x:c r="J240" s="46"/>
      <x:c r="K240" s="56"/>
      <x:c r="L240" s="56"/>
      <x:c r="M240" s="56"/>
      <x:c r="N240" s="48"/>
      <x:c r="O240" s="72"/>
    </x:row>
    <x:row r="241">
      <x:c r="A241" s="50"/>
      <x:c r="B241" s="52"/>
      <x:c r="C241" s="46"/>
      <x:c r="D241" s="46"/>
      <x:c r="E241" s="46"/>
      <x:c r="F241" s="46"/>
      <x:c r="G241" s="72"/>
      <x:c r="H241" s="54"/>
      <x:c r="I241" s="46"/>
      <x:c r="J241" s="46"/>
      <x:c r="K241" s="56"/>
      <x:c r="L241" s="56"/>
      <x:c r="M241" s="56"/>
      <x:c r="N241" s="48"/>
      <x:c r="O241" s="72"/>
    </x:row>
    <x:row r="242">
      <x:c r="A242" s="50"/>
      <x:c r="B242" s="52"/>
      <x:c r="C242" s="46"/>
      <x:c r="D242" s="46"/>
      <x:c r="E242" s="46"/>
      <x:c r="F242" s="46"/>
      <x:c r="G242" s="72"/>
      <x:c r="H242" s="54"/>
      <x:c r="I242" s="46"/>
      <x:c r="J242" s="46"/>
      <x:c r="K242" s="56"/>
      <x:c r="L242" s="56"/>
      <x:c r="M242" s="56"/>
      <x:c r="N242" s="48"/>
      <x:c r="O242" s="72"/>
    </x:row>
    <x:row r="243">
      <x:c r="A243" s="50"/>
      <x:c r="B243" s="52"/>
      <x:c r="C243" s="46"/>
      <x:c r="D243" s="46"/>
      <x:c r="E243" s="46"/>
      <x:c r="F243" s="46"/>
      <x:c r="G243" s="72"/>
      <x:c r="H243" s="54"/>
      <x:c r="I243" s="46"/>
      <x:c r="J243" s="46"/>
      <x:c r="K243" s="56"/>
      <x:c r="L243" s="56"/>
      <x:c r="M243" s="56"/>
      <x:c r="N243" s="48"/>
      <x:c r="O243" s="72"/>
    </x:row>
    <x:row r="244">
      <x:c r="A244" s="50"/>
      <x:c r="B244" s="52"/>
      <x:c r="C244" s="46"/>
      <x:c r="D244" s="46"/>
      <x:c r="E244" s="46"/>
      <x:c r="F244" s="46"/>
      <x:c r="G244" s="72"/>
      <x:c r="H244" s="54"/>
      <x:c r="I244" s="46"/>
      <x:c r="J244" s="46"/>
      <x:c r="K244" s="56"/>
      <x:c r="L244" s="56"/>
      <x:c r="M244" s="56"/>
      <x:c r="N244" s="48"/>
      <x:c r="O244" s="72"/>
    </x:row>
    <x:row r="245">
      <x:c r="A245" s="50"/>
      <x:c r="B245" s="52"/>
      <x:c r="C245" s="46"/>
      <x:c r="D245" s="46"/>
      <x:c r="E245" s="46"/>
      <x:c r="F245" s="46"/>
      <x:c r="G245" s="72"/>
      <x:c r="H245" s="54"/>
      <x:c r="I245" s="46"/>
      <x:c r="J245" s="46"/>
      <x:c r="K245" s="56"/>
      <x:c r="L245" s="56"/>
      <x:c r="M245" s="56"/>
      <x:c r="N245" s="48"/>
      <x:c r="O245" s="72"/>
    </x:row>
    <x:row r="246">
      <x:c r="A246" s="50"/>
      <x:c r="B246" s="52"/>
      <x:c r="C246" s="46"/>
      <x:c r="D246" s="46"/>
      <x:c r="E246" s="46"/>
      <x:c r="F246" s="46"/>
      <x:c r="G246" s="72"/>
      <x:c r="H246" s="54"/>
      <x:c r="I246" s="46"/>
      <x:c r="J246" s="46"/>
      <x:c r="K246" s="56"/>
      <x:c r="L246" s="56"/>
      <x:c r="M246" s="56"/>
      <x:c r="N246" s="48"/>
      <x:c r="O246" s="72"/>
    </x:row>
    <x:row r="247">
      <x:c r="A247" s="50"/>
      <x:c r="B247" s="52"/>
      <x:c r="C247" s="46"/>
      <x:c r="D247" s="46"/>
      <x:c r="E247" s="46"/>
      <x:c r="F247" s="46"/>
      <x:c r="G247" s="72"/>
      <x:c r="H247" s="54"/>
      <x:c r="I247" s="46"/>
      <x:c r="J247" s="46"/>
      <x:c r="K247" s="56"/>
      <x:c r="L247" s="56"/>
      <x:c r="M247" s="56"/>
      <x:c r="N247" s="48"/>
      <x:c r="O247" s="72"/>
    </x:row>
    <x:row r="248">
      <x:c r="A248" s="50"/>
      <x:c r="B248" s="52"/>
      <x:c r="C248" s="46"/>
      <x:c r="D248" s="46"/>
      <x:c r="E248" s="46"/>
      <x:c r="F248" s="46"/>
      <x:c r="G248" s="72"/>
      <x:c r="H248" s="54"/>
      <x:c r="I248" s="46"/>
      <x:c r="J248" s="46"/>
      <x:c r="K248" s="56"/>
      <x:c r="L248" s="56"/>
      <x:c r="M248" s="56"/>
      <x:c r="N248" s="48"/>
      <x:c r="O248" s="72"/>
    </x:row>
    <x:row r="249">
      <x:c r="A249" s="50"/>
      <x:c r="B249" s="52"/>
      <x:c r="C249" s="46"/>
      <x:c r="D249" s="46"/>
      <x:c r="E249" s="46"/>
      <x:c r="F249" s="46"/>
      <x:c r="G249" s="72"/>
      <x:c r="H249" s="54"/>
      <x:c r="I249" s="46"/>
      <x:c r="J249" s="46"/>
      <x:c r="K249" s="56"/>
      <x:c r="L249" s="56"/>
      <x:c r="M249" s="56"/>
      <x:c r="N249" s="48"/>
      <x:c r="O249" s="72"/>
    </x:row>
    <x:row r="250">
      <x:c r="A250" s="50"/>
      <x:c r="B250" s="52"/>
      <x:c r="C250" s="46"/>
      <x:c r="D250" s="46"/>
      <x:c r="E250" s="46"/>
      <x:c r="F250" s="46"/>
      <x:c r="G250" s="72"/>
      <x:c r="H250" s="54"/>
      <x:c r="I250" s="46"/>
      <x:c r="J250" s="46"/>
      <x:c r="K250" s="56"/>
      <x:c r="L250" s="56"/>
      <x:c r="M250" s="56"/>
      <x:c r="N250" s="48"/>
      <x:c r="O250" s="72"/>
    </x:row>
    <x:row r="251">
      <x:c r="A251" s="50"/>
      <x:c r="B251" s="52"/>
      <x:c r="C251" s="46"/>
      <x:c r="D251" s="46"/>
      <x:c r="E251" s="46"/>
      <x:c r="F251" s="46"/>
      <x:c r="G251" s="72"/>
      <x:c r="H251" s="54"/>
      <x:c r="I251" s="46"/>
      <x:c r="J251" s="46"/>
      <x:c r="K251" s="56"/>
      <x:c r="L251" s="56"/>
      <x:c r="M251" s="56"/>
      <x:c r="N251" s="48"/>
      <x:c r="O251" s="72"/>
    </x:row>
    <x:row r="252">
      <x:c r="A252" s="50"/>
      <x:c r="B252" s="52"/>
      <x:c r="C252" s="46"/>
      <x:c r="D252" s="46"/>
      <x:c r="E252" s="46"/>
      <x:c r="F252" s="46"/>
      <x:c r="G252" s="72"/>
      <x:c r="H252" s="54"/>
      <x:c r="I252" s="46"/>
      <x:c r="J252" s="46"/>
      <x:c r="K252" s="56"/>
      <x:c r="L252" s="56"/>
      <x:c r="M252" s="56"/>
      <x:c r="N252" s="48"/>
      <x:c r="O252" s="72"/>
    </x:row>
    <x:row r="253">
      <x:c r="A253" s="50"/>
      <x:c r="B253" s="52"/>
      <x:c r="C253" s="46"/>
      <x:c r="D253" s="46"/>
      <x:c r="E253" s="46"/>
      <x:c r="F253" s="46"/>
      <x:c r="G253" s="72"/>
      <x:c r="H253" s="54"/>
      <x:c r="I253" s="46"/>
      <x:c r="J253" s="46"/>
      <x:c r="K253" s="56"/>
      <x:c r="L253" s="56"/>
      <x:c r="M253" s="56"/>
      <x:c r="N253" s="48"/>
      <x:c r="O253" s="72"/>
    </x:row>
    <x:row r="254">
      <x:c r="A254" s="50"/>
      <x:c r="B254" s="52"/>
      <x:c r="C254" s="46"/>
      <x:c r="D254" s="46"/>
      <x:c r="E254" s="46"/>
      <x:c r="F254" s="46"/>
      <x:c r="G254" s="72"/>
      <x:c r="H254" s="54"/>
      <x:c r="I254" s="46"/>
      <x:c r="J254" s="46"/>
      <x:c r="K254" s="56"/>
      <x:c r="L254" s="56"/>
      <x:c r="M254" s="56"/>
      <x:c r="N254" s="48"/>
      <x:c r="O254" s="72"/>
    </x:row>
    <x:row r="255">
      <x:c r="A255" s="50"/>
      <x:c r="B255" s="52"/>
      <x:c r="C255" s="46"/>
      <x:c r="D255" s="46"/>
      <x:c r="E255" s="46"/>
      <x:c r="F255" s="46"/>
      <x:c r="G255" s="72"/>
      <x:c r="H255" s="54"/>
      <x:c r="I255" s="46"/>
      <x:c r="J255" s="46"/>
      <x:c r="K255" s="56"/>
      <x:c r="L255" s="56"/>
      <x:c r="M255" s="56"/>
      <x:c r="N255" s="48"/>
      <x:c r="O255" s="72"/>
    </x:row>
    <x:row r="256">
      <x:c r="A256" s="50"/>
      <x:c r="B256" s="52"/>
      <x:c r="C256" s="46"/>
      <x:c r="D256" s="46"/>
      <x:c r="E256" s="46"/>
      <x:c r="F256" s="46"/>
      <x:c r="G256" s="72"/>
      <x:c r="H256" s="54"/>
      <x:c r="I256" s="46"/>
      <x:c r="J256" s="46"/>
      <x:c r="K256" s="56"/>
      <x:c r="L256" s="56"/>
      <x:c r="M256" s="56"/>
      <x:c r="N256" s="48"/>
      <x:c r="O256" s="72"/>
    </x:row>
    <x:row r="257">
      <x:c r="A257" s="50"/>
      <x:c r="B257" s="52"/>
      <x:c r="C257" s="46"/>
      <x:c r="D257" s="46"/>
      <x:c r="E257" s="46"/>
      <x:c r="F257" s="46"/>
      <x:c r="G257" s="72"/>
      <x:c r="H257" s="54"/>
      <x:c r="I257" s="46"/>
      <x:c r="J257" s="46"/>
      <x:c r="K257" s="56"/>
      <x:c r="L257" s="56"/>
      <x:c r="M257" s="56"/>
      <x:c r="N257" s="48"/>
      <x:c r="O257" s="72"/>
    </x:row>
    <x:row r="258">
      <x:c r="A258" s="50"/>
      <x:c r="B258" s="52"/>
      <x:c r="C258" s="46"/>
      <x:c r="D258" s="46"/>
      <x:c r="E258" s="46"/>
      <x:c r="F258" s="46"/>
      <x:c r="G258" s="72"/>
      <x:c r="H258" s="54"/>
      <x:c r="I258" s="46"/>
      <x:c r="J258" s="46"/>
      <x:c r="K258" s="56"/>
      <x:c r="L258" s="56"/>
      <x:c r="M258" s="56"/>
      <x:c r="N258" s="48"/>
      <x:c r="O258" s="72"/>
    </x:row>
    <x:row r="259">
      <x:c r="A259" s="50"/>
      <x:c r="B259" s="52"/>
      <x:c r="C259" s="46"/>
      <x:c r="D259" s="46"/>
      <x:c r="E259" s="46"/>
      <x:c r="F259" s="46"/>
      <x:c r="G259" s="72"/>
      <x:c r="H259" s="54"/>
      <x:c r="I259" s="46"/>
      <x:c r="J259" s="46"/>
      <x:c r="K259" s="56"/>
      <x:c r="L259" s="56"/>
      <x:c r="M259" s="56"/>
      <x:c r="N259" s="48"/>
      <x:c r="O259" s="72"/>
    </x:row>
    <x:row r="260">
      <x:c r="A260" s="50"/>
      <x:c r="B260" s="52"/>
      <x:c r="C260" s="46"/>
      <x:c r="D260" s="46"/>
      <x:c r="E260" s="46"/>
      <x:c r="F260" s="46"/>
      <x:c r="G260" s="72"/>
      <x:c r="H260" s="54"/>
      <x:c r="I260" s="46"/>
      <x:c r="J260" s="46"/>
      <x:c r="K260" s="56"/>
      <x:c r="L260" s="56"/>
      <x:c r="M260" s="56"/>
      <x:c r="N260" s="48"/>
      <x:c r="O260" s="72"/>
    </x:row>
    <x:row r="261">
      <x:c r="A261" s="50"/>
      <x:c r="B261" s="52"/>
      <x:c r="C261" s="46"/>
      <x:c r="D261" s="46"/>
      <x:c r="E261" s="46"/>
      <x:c r="F261" s="46"/>
      <x:c r="G261" s="72"/>
      <x:c r="H261" s="54"/>
      <x:c r="I261" s="46"/>
      <x:c r="J261" s="46"/>
      <x:c r="K261" s="56"/>
      <x:c r="L261" s="56"/>
      <x:c r="M261" s="56"/>
      <x:c r="N261" s="48"/>
      <x:c r="O261" s="72"/>
    </x:row>
    <x:row r="262">
      <x:c r="A262" s="50"/>
      <x:c r="B262" s="52"/>
      <x:c r="C262" s="46"/>
      <x:c r="D262" s="46"/>
      <x:c r="E262" s="46"/>
      <x:c r="F262" s="46"/>
      <x:c r="G262" s="72"/>
      <x:c r="H262" s="54"/>
      <x:c r="I262" s="46"/>
      <x:c r="J262" s="46"/>
      <x:c r="K262" s="56"/>
      <x:c r="L262" s="56"/>
      <x:c r="M262" s="56"/>
      <x:c r="N262" s="48"/>
      <x:c r="O262" s="72"/>
    </x:row>
    <x:row r="263">
      <x:c r="A263" s="50"/>
      <x:c r="B263" s="52"/>
      <x:c r="C263" s="46"/>
      <x:c r="D263" s="46"/>
      <x:c r="E263" s="46"/>
      <x:c r="F263" s="46"/>
      <x:c r="G263" s="72"/>
      <x:c r="H263" s="54"/>
      <x:c r="I263" s="46"/>
      <x:c r="J263" s="46"/>
      <x:c r="K263" s="56"/>
      <x:c r="L263" s="56"/>
      <x:c r="M263" s="56"/>
      <x:c r="N263" s="48"/>
      <x:c r="O263" s="72"/>
    </x:row>
    <x:row r="264">
      <x:c r="A264" s="50"/>
      <x:c r="B264" s="52"/>
      <x:c r="C264" s="46"/>
      <x:c r="D264" s="46"/>
      <x:c r="E264" s="46"/>
      <x:c r="F264" s="46"/>
      <x:c r="G264" s="72"/>
      <x:c r="H264" s="54"/>
      <x:c r="I264" s="46"/>
      <x:c r="J264" s="46"/>
      <x:c r="K264" s="56"/>
      <x:c r="L264" s="56"/>
      <x:c r="M264" s="56"/>
      <x:c r="N264" s="48"/>
      <x:c r="O264" s="72"/>
    </x:row>
    <x:row r="265">
      <x:c r="A265" s="50"/>
      <x:c r="B265" s="52"/>
      <x:c r="C265" s="46"/>
      <x:c r="D265" s="46"/>
      <x:c r="E265" s="46"/>
      <x:c r="F265" s="46"/>
      <x:c r="G265" s="72"/>
      <x:c r="H265" s="54"/>
      <x:c r="I265" s="46"/>
      <x:c r="J265" s="46"/>
      <x:c r="K265" s="56"/>
      <x:c r="L265" s="56"/>
      <x:c r="M265" s="56"/>
      <x:c r="N265" s="48"/>
      <x:c r="O265" s="72"/>
    </x:row>
    <x:row r="266">
      <x:c r="A266" s="50"/>
      <x:c r="B266" s="52"/>
      <x:c r="C266" s="46"/>
      <x:c r="D266" s="46"/>
      <x:c r="E266" s="46"/>
      <x:c r="F266" s="46"/>
      <x:c r="G266" s="72"/>
      <x:c r="H266" s="54"/>
      <x:c r="I266" s="46"/>
      <x:c r="J266" s="46"/>
      <x:c r="K266" s="56"/>
      <x:c r="L266" s="56"/>
      <x:c r="M266" s="56"/>
      <x:c r="N266" s="48"/>
      <x:c r="O266" s="72"/>
    </x:row>
    <x:row r="267">
      <x:c r="A267" s="50"/>
      <x:c r="B267" s="52"/>
      <x:c r="C267" s="46"/>
      <x:c r="D267" s="46"/>
      <x:c r="E267" s="46"/>
      <x:c r="F267" s="46"/>
      <x:c r="G267" s="72"/>
      <x:c r="H267" s="54"/>
      <x:c r="I267" s="46"/>
      <x:c r="J267" s="46"/>
      <x:c r="K267" s="56"/>
      <x:c r="L267" s="56"/>
      <x:c r="M267" s="56"/>
      <x:c r="N267" s="48"/>
      <x:c r="O267" s="72"/>
    </x:row>
    <x:row r="268">
      <x:c r="A268" s="50"/>
      <x:c r="B268" s="52"/>
      <x:c r="C268" s="46"/>
      <x:c r="D268" s="46"/>
      <x:c r="E268" s="46"/>
      <x:c r="F268" s="46"/>
      <x:c r="G268" s="72"/>
      <x:c r="H268" s="54"/>
      <x:c r="I268" s="46"/>
      <x:c r="J268" s="46"/>
      <x:c r="K268" s="56"/>
      <x:c r="L268" s="56"/>
      <x:c r="M268" s="56"/>
      <x:c r="N268" s="48"/>
      <x:c r="O268" s="72"/>
    </x:row>
    <x:row r="269">
      <x:c r="A269" s="50"/>
      <x:c r="B269" s="52"/>
      <x:c r="C269" s="46"/>
      <x:c r="D269" s="46"/>
      <x:c r="E269" s="46"/>
      <x:c r="F269" s="46"/>
      <x:c r="G269" s="72"/>
      <x:c r="H269" s="54"/>
      <x:c r="I269" s="46"/>
      <x:c r="J269" s="46"/>
      <x:c r="K269" s="56"/>
      <x:c r="L269" s="56"/>
      <x:c r="M269" s="56"/>
      <x:c r="N269" s="48"/>
      <x:c r="O269" s="72"/>
    </x:row>
    <x:row r="270">
      <x:c r="A270" s="50"/>
      <x:c r="B270" s="52"/>
      <x:c r="C270" s="46"/>
      <x:c r="D270" s="46"/>
      <x:c r="E270" s="46"/>
      <x:c r="F270" s="46"/>
      <x:c r="G270" s="72"/>
      <x:c r="H270" s="54"/>
      <x:c r="I270" s="46"/>
      <x:c r="J270" s="46"/>
      <x:c r="K270" s="56"/>
      <x:c r="L270" s="56"/>
      <x:c r="M270" s="56"/>
      <x:c r="N270" s="48"/>
      <x:c r="O270" s="72"/>
    </x:row>
    <x:row r="271">
      <x:c r="A271" s="50"/>
      <x:c r="B271" s="52"/>
      <x:c r="C271" s="46"/>
      <x:c r="D271" s="46"/>
      <x:c r="E271" s="46"/>
      <x:c r="F271" s="46"/>
      <x:c r="G271" s="72"/>
      <x:c r="H271" s="54"/>
      <x:c r="I271" s="46"/>
      <x:c r="J271" s="46"/>
      <x:c r="K271" s="56"/>
      <x:c r="L271" s="56"/>
      <x:c r="M271" s="56"/>
      <x:c r="N271" s="48"/>
      <x:c r="O271" s="72"/>
    </x:row>
    <x:row r="272">
      <x:c r="A272" s="50"/>
      <x:c r="B272" s="52"/>
      <x:c r="C272" s="46"/>
      <x:c r="D272" s="46"/>
      <x:c r="E272" s="46"/>
      <x:c r="F272" s="46"/>
      <x:c r="G272" s="72"/>
      <x:c r="H272" s="54"/>
      <x:c r="I272" s="46"/>
      <x:c r="J272" s="46"/>
      <x:c r="K272" s="56"/>
      <x:c r="L272" s="56"/>
      <x:c r="M272" s="56"/>
      <x:c r="N272" s="48"/>
      <x:c r="O272" s="72"/>
    </x:row>
    <x:row r="273">
      <x:c r="A273" s="50"/>
      <x:c r="B273" s="52"/>
      <x:c r="C273" s="46"/>
      <x:c r="D273" s="46"/>
      <x:c r="E273" s="46"/>
      <x:c r="F273" s="46"/>
      <x:c r="G273" s="72"/>
      <x:c r="H273" s="54"/>
      <x:c r="I273" s="46"/>
      <x:c r="J273" s="46"/>
      <x:c r="K273" s="56"/>
      <x:c r="L273" s="56"/>
      <x:c r="M273" s="56"/>
      <x:c r="N273" s="48"/>
      <x:c r="O273" s="72"/>
    </x:row>
    <x:row r="274">
      <x:c r="A274" s="50"/>
      <x:c r="B274" s="52"/>
      <x:c r="C274" s="46"/>
      <x:c r="D274" s="46"/>
      <x:c r="E274" s="46"/>
      <x:c r="F274" s="46"/>
      <x:c r="G274" s="72"/>
      <x:c r="H274" s="54"/>
      <x:c r="I274" s="46"/>
      <x:c r="J274" s="46"/>
      <x:c r="K274" s="56"/>
      <x:c r="L274" s="56"/>
      <x:c r="M274" s="56"/>
      <x:c r="N274" s="48"/>
      <x:c r="O274" s="72"/>
    </x:row>
    <x:row r="275">
      <x:c r="A275" s="50"/>
      <x:c r="B275" s="52"/>
      <x:c r="C275" s="46"/>
      <x:c r="D275" s="46"/>
      <x:c r="E275" s="46"/>
      <x:c r="F275" s="46"/>
      <x:c r="G275" s="72"/>
      <x:c r="H275" s="54"/>
      <x:c r="I275" s="46"/>
      <x:c r="J275" s="46"/>
      <x:c r="K275" s="56"/>
      <x:c r="L275" s="56"/>
      <x:c r="M275" s="56"/>
      <x:c r="N275" s="48"/>
      <x:c r="O275" s="72"/>
    </x:row>
    <x:row r="276">
      <x:c r="A276" s="50"/>
      <x:c r="B276" s="52"/>
      <x:c r="C276" s="46"/>
      <x:c r="D276" s="46"/>
      <x:c r="E276" s="46"/>
      <x:c r="F276" s="46"/>
      <x:c r="G276" s="72"/>
      <x:c r="H276" s="54"/>
      <x:c r="I276" s="46"/>
      <x:c r="J276" s="46"/>
      <x:c r="K276" s="56"/>
      <x:c r="L276" s="56"/>
      <x:c r="M276" s="56"/>
      <x:c r="N276" s="48"/>
      <x:c r="O276" s="72"/>
    </x:row>
    <x:row r="277">
      <x:c r="A277" s="50"/>
      <x:c r="B277" s="52"/>
      <x:c r="C277" s="46"/>
      <x:c r="D277" s="46"/>
      <x:c r="E277" s="46"/>
      <x:c r="F277" s="46"/>
      <x:c r="G277" s="72"/>
      <x:c r="H277" s="54"/>
      <x:c r="I277" s="46"/>
      <x:c r="J277" s="46"/>
      <x:c r="K277" s="56"/>
      <x:c r="L277" s="56"/>
      <x:c r="M277" s="56"/>
      <x:c r="N277" s="48"/>
      <x:c r="O277" s="72"/>
    </x:row>
    <x:row r="278">
      <x:c r="A278" s="50"/>
      <x:c r="B278" s="52"/>
      <x:c r="C278" s="46"/>
      <x:c r="D278" s="46"/>
      <x:c r="E278" s="46"/>
      <x:c r="F278" s="46"/>
      <x:c r="G278" s="72"/>
      <x:c r="H278" s="54"/>
      <x:c r="I278" s="46"/>
      <x:c r="J278" s="46"/>
      <x:c r="K278" s="56"/>
      <x:c r="L278" s="56"/>
      <x:c r="M278" s="56"/>
      <x:c r="N278" s="48"/>
      <x:c r="O278" s="72"/>
    </x:row>
    <x:row r="279">
      <x:c r="A279" s="50"/>
      <x:c r="B279" s="52"/>
      <x:c r="C279" s="46"/>
      <x:c r="D279" s="46"/>
      <x:c r="E279" s="46"/>
      <x:c r="F279" s="46"/>
      <x:c r="G279" s="72"/>
      <x:c r="H279" s="54"/>
      <x:c r="I279" s="46"/>
      <x:c r="J279" s="46"/>
      <x:c r="K279" s="56"/>
      <x:c r="L279" s="56"/>
      <x:c r="M279" s="56"/>
      <x:c r="N279" s="48"/>
      <x:c r="O279" s="72"/>
    </x:row>
    <x:row r="280">
      <x:c r="A280" s="50"/>
      <x:c r="B280" s="52"/>
      <x:c r="C280" s="46"/>
      <x:c r="D280" s="46"/>
      <x:c r="E280" s="46"/>
      <x:c r="F280" s="46"/>
      <x:c r="G280" s="72"/>
      <x:c r="H280" s="54"/>
      <x:c r="I280" s="46"/>
      <x:c r="J280" s="46"/>
      <x:c r="K280" s="56"/>
      <x:c r="L280" s="56"/>
      <x:c r="M280" s="56"/>
      <x:c r="N280" s="48"/>
      <x:c r="O280" s="72"/>
    </x:row>
    <x:row r="281">
      <x:c r="A281" s="50"/>
      <x:c r="B281" s="52"/>
      <x:c r="C281" s="46"/>
      <x:c r="D281" s="46"/>
      <x:c r="E281" s="46"/>
      <x:c r="F281" s="46"/>
      <x:c r="G281" s="72"/>
      <x:c r="H281" s="54"/>
      <x:c r="I281" s="46"/>
      <x:c r="J281" s="46"/>
      <x:c r="K281" s="56"/>
      <x:c r="L281" s="56"/>
      <x:c r="M281" s="56"/>
      <x:c r="N281" s="48"/>
      <x:c r="O281" s="72"/>
    </x:row>
    <x:row r="282">
      <x:c r="A282" s="50"/>
      <x:c r="B282" s="52"/>
      <x:c r="C282" s="46"/>
      <x:c r="D282" s="46"/>
      <x:c r="E282" s="46"/>
      <x:c r="F282" s="46"/>
      <x:c r="G282" s="72"/>
      <x:c r="H282" s="54"/>
      <x:c r="I282" s="46"/>
      <x:c r="J282" s="46"/>
      <x:c r="K282" s="56"/>
      <x:c r="L282" s="56"/>
      <x:c r="M282" s="56"/>
      <x:c r="N282" s="48"/>
      <x:c r="O282" s="72"/>
    </x:row>
    <x:row r="283">
      <x:c r="A283" s="50"/>
      <x:c r="B283" s="52"/>
      <x:c r="C283" s="46"/>
      <x:c r="D283" s="46"/>
      <x:c r="E283" s="46"/>
      <x:c r="F283" s="46"/>
      <x:c r="G283" s="72"/>
      <x:c r="H283" s="54"/>
      <x:c r="I283" s="46"/>
      <x:c r="J283" s="46"/>
      <x:c r="K283" s="56"/>
      <x:c r="L283" s="56"/>
      <x:c r="M283" s="56"/>
      <x:c r="N283" s="48"/>
      <x:c r="O283" s="72"/>
    </x:row>
    <x:row r="284">
      <x:c r="A284" s="50"/>
      <x:c r="B284" s="52"/>
      <x:c r="C284" s="46"/>
      <x:c r="D284" s="46"/>
      <x:c r="E284" s="46"/>
      <x:c r="F284" s="46"/>
      <x:c r="G284" s="72"/>
      <x:c r="H284" s="54"/>
      <x:c r="I284" s="46"/>
      <x:c r="J284" s="46"/>
      <x:c r="K284" s="56"/>
      <x:c r="L284" s="56"/>
      <x:c r="M284" s="56"/>
      <x:c r="N284" s="48"/>
      <x:c r="O284" s="72"/>
    </x:row>
    <x:row r="285">
      <x:c r="A285" s="50"/>
      <x:c r="B285" s="52"/>
      <x:c r="C285" s="46"/>
      <x:c r="D285" s="46"/>
      <x:c r="E285" s="46"/>
      <x:c r="F285" s="46"/>
      <x:c r="G285" s="72"/>
      <x:c r="H285" s="54"/>
      <x:c r="I285" s="46"/>
      <x:c r="J285" s="46"/>
      <x:c r="K285" s="56"/>
      <x:c r="L285" s="56"/>
      <x:c r="M285" s="56"/>
      <x:c r="N285" s="48"/>
      <x:c r="O285" s="72"/>
    </x:row>
    <x:row r="286">
      <x:c r="A286" s="50"/>
      <x:c r="B286" s="52"/>
      <x:c r="C286" s="46"/>
      <x:c r="D286" s="46"/>
      <x:c r="E286" s="46"/>
      <x:c r="F286" s="46"/>
      <x:c r="G286" s="72"/>
      <x:c r="H286" s="54"/>
      <x:c r="I286" s="46"/>
      <x:c r="J286" s="46"/>
      <x:c r="K286" s="56"/>
      <x:c r="L286" s="56"/>
      <x:c r="M286" s="56"/>
      <x:c r="N286" s="48"/>
      <x:c r="O286" s="72"/>
    </x:row>
    <x:row r="287">
      <x:c r="A287" s="50"/>
      <x:c r="B287" s="52"/>
      <x:c r="C287" s="46"/>
      <x:c r="D287" s="46"/>
      <x:c r="E287" s="46"/>
      <x:c r="F287" s="46"/>
      <x:c r="G287" s="72"/>
      <x:c r="H287" s="54"/>
      <x:c r="I287" s="46"/>
      <x:c r="J287" s="46"/>
      <x:c r="K287" s="56"/>
      <x:c r="L287" s="56"/>
      <x:c r="M287" s="56"/>
      <x:c r="N287" s="48"/>
      <x:c r="O287" s="72"/>
    </x:row>
    <x:row r="288">
      <x:c r="A288" s="50"/>
      <x:c r="B288" s="52"/>
      <x:c r="C288" s="46"/>
      <x:c r="D288" s="46"/>
      <x:c r="E288" s="46"/>
      <x:c r="F288" s="46"/>
      <x:c r="G288" s="72"/>
      <x:c r="H288" s="54"/>
      <x:c r="I288" s="46"/>
      <x:c r="J288" s="46"/>
      <x:c r="K288" s="56"/>
      <x:c r="L288" s="56"/>
      <x:c r="M288" s="56"/>
      <x:c r="N288" s="48"/>
      <x:c r="O288" s="72"/>
    </x:row>
    <x:row r="289">
      <x:c r="A289" s="50"/>
      <x:c r="B289" s="52"/>
      <x:c r="C289" s="46"/>
      <x:c r="D289" s="46"/>
      <x:c r="E289" s="46"/>
      <x:c r="F289" s="46"/>
      <x:c r="G289" s="72"/>
      <x:c r="H289" s="54"/>
      <x:c r="I289" s="46"/>
      <x:c r="J289" s="46"/>
      <x:c r="K289" s="56"/>
      <x:c r="L289" s="56"/>
      <x:c r="M289" s="56"/>
      <x:c r="N289" s="48"/>
      <x:c r="O289" s="72"/>
    </x:row>
    <x:row r="290">
      <x:c r="A290" s="50"/>
      <x:c r="B290" s="52"/>
      <x:c r="C290" s="46"/>
      <x:c r="D290" s="46"/>
      <x:c r="E290" s="46"/>
      <x:c r="F290" s="46"/>
      <x:c r="G290" s="72"/>
      <x:c r="H290" s="54"/>
      <x:c r="I290" s="46"/>
      <x:c r="J290" s="46"/>
      <x:c r="K290" s="56"/>
      <x:c r="L290" s="56"/>
      <x:c r="M290" s="56"/>
      <x:c r="N290" s="48"/>
      <x:c r="O290" s="72"/>
    </x:row>
    <x:row r="291">
      <x:c r="A291" s="50"/>
      <x:c r="B291" s="52"/>
      <x:c r="C291" s="46"/>
      <x:c r="D291" s="46"/>
      <x:c r="E291" s="46"/>
      <x:c r="F291" s="46"/>
      <x:c r="G291" s="72"/>
      <x:c r="H291" s="54"/>
      <x:c r="I291" s="46"/>
      <x:c r="J291" s="46"/>
      <x:c r="K291" s="56"/>
      <x:c r="L291" s="56"/>
      <x:c r="M291" s="56"/>
      <x:c r="N291" s="48"/>
      <x:c r="O291" s="72"/>
    </x:row>
    <x:row r="292">
      <x:c r="A292" s="50"/>
      <x:c r="B292" s="52"/>
      <x:c r="C292" s="46"/>
      <x:c r="D292" s="46"/>
      <x:c r="E292" s="46"/>
      <x:c r="F292" s="46"/>
      <x:c r="G292" s="72"/>
      <x:c r="H292" s="54"/>
      <x:c r="I292" s="46"/>
      <x:c r="J292" s="46"/>
      <x:c r="K292" s="56"/>
      <x:c r="L292" s="56"/>
      <x:c r="M292" s="56"/>
      <x:c r="N292" s="48"/>
      <x:c r="O292" s="72"/>
    </x:row>
    <x:row r="293">
      <x:c r="A293" s="50"/>
      <x:c r="B293" s="52"/>
      <x:c r="C293" s="46"/>
      <x:c r="D293" s="46"/>
      <x:c r="E293" s="46"/>
      <x:c r="F293" s="46"/>
      <x:c r="G293" s="72"/>
      <x:c r="H293" s="54"/>
      <x:c r="I293" s="46"/>
      <x:c r="J293" s="46"/>
      <x:c r="K293" s="56"/>
      <x:c r="L293" s="56"/>
      <x:c r="M293" s="56"/>
      <x:c r="N293" s="48"/>
      <x:c r="O293" s="72"/>
    </x:row>
    <x:row r="294">
      <x:c r="A294" s="50"/>
      <x:c r="B294" s="52"/>
      <x:c r="C294" s="46"/>
      <x:c r="D294" s="46"/>
      <x:c r="E294" s="46"/>
      <x:c r="F294" s="46"/>
      <x:c r="G294" s="72"/>
      <x:c r="H294" s="54"/>
      <x:c r="I294" s="46"/>
      <x:c r="J294" s="46"/>
      <x:c r="K294" s="56"/>
      <x:c r="L294" s="56"/>
      <x:c r="M294" s="56"/>
      <x:c r="N294" s="48"/>
      <x:c r="O294" s="72"/>
    </x:row>
    <x:row r="295">
      <x:c r="A295" s="50"/>
      <x:c r="B295" s="52"/>
      <x:c r="C295" s="46"/>
      <x:c r="D295" s="46"/>
      <x:c r="E295" s="46"/>
      <x:c r="F295" s="46"/>
      <x:c r="G295" s="72"/>
      <x:c r="H295" s="54"/>
      <x:c r="I295" s="46"/>
      <x:c r="J295" s="46"/>
      <x:c r="K295" s="56"/>
      <x:c r="L295" s="56"/>
      <x:c r="M295" s="56"/>
      <x:c r="N295" s="48"/>
      <x:c r="O295" s="72"/>
    </x:row>
    <x:row r="296">
      <x:c r="A296" s="50"/>
      <x:c r="B296" s="52"/>
      <x:c r="C296" s="46"/>
      <x:c r="D296" s="46"/>
      <x:c r="E296" s="46"/>
      <x:c r="F296" s="46"/>
      <x:c r="G296" s="72"/>
      <x:c r="H296" s="54"/>
      <x:c r="I296" s="46"/>
      <x:c r="J296" s="46"/>
      <x:c r="K296" s="56"/>
      <x:c r="L296" s="56"/>
      <x:c r="M296" s="56"/>
      <x:c r="N296" s="48"/>
      <x:c r="O296" s="72"/>
    </x:row>
    <x:row r="297">
      <x:c r="A297" s="50"/>
      <x:c r="B297" s="52"/>
      <x:c r="C297" s="46"/>
      <x:c r="D297" s="46"/>
      <x:c r="E297" s="46"/>
      <x:c r="F297" s="46"/>
      <x:c r="G297" s="72"/>
      <x:c r="H297" s="54"/>
      <x:c r="I297" s="46"/>
      <x:c r="J297" s="46"/>
      <x:c r="K297" s="56"/>
      <x:c r="L297" s="56"/>
      <x:c r="M297" s="56"/>
      <x:c r="N297" s="48"/>
      <x:c r="O297" s="72"/>
    </x:row>
    <x:row r="298">
      <x:c r="A298" s="50"/>
      <x:c r="B298" s="52"/>
      <x:c r="C298" s="46"/>
      <x:c r="D298" s="46"/>
      <x:c r="E298" s="46"/>
      <x:c r="F298" s="46"/>
      <x:c r="G298" s="72"/>
      <x:c r="H298" s="54"/>
      <x:c r="I298" s="46"/>
      <x:c r="J298" s="46"/>
      <x:c r="K298" s="56"/>
      <x:c r="L298" s="56"/>
      <x:c r="M298" s="56"/>
      <x:c r="N298" s="48"/>
      <x:c r="O298" s="72"/>
    </x:row>
    <x:row r="299">
      <x:c r="A299" s="50"/>
      <x:c r="B299" s="52"/>
      <x:c r="C299" s="46"/>
      <x:c r="D299" s="46"/>
      <x:c r="E299" s="46"/>
      <x:c r="F299" s="46"/>
      <x:c r="G299" s="72"/>
      <x:c r="H299" s="54"/>
      <x:c r="I299" s="46"/>
      <x:c r="J299" s="46"/>
      <x:c r="K299" s="56"/>
      <x:c r="L299" s="56"/>
      <x:c r="M299" s="56"/>
      <x:c r="N299" s="48"/>
      <x:c r="O299" s="72"/>
    </x:row>
    <x:row r="300">
      <x:c r="A300" s="50"/>
      <x:c r="B300" s="52"/>
      <x:c r="C300" s="46"/>
      <x:c r="D300" s="46"/>
      <x:c r="E300" s="46"/>
      <x:c r="F300" s="46"/>
      <x:c r="G300" s="72"/>
      <x:c r="H300" s="54"/>
      <x:c r="I300" s="46"/>
      <x:c r="J300" s="46"/>
      <x:c r="K300" s="56"/>
      <x:c r="L300" s="56"/>
      <x:c r="M300" s="56"/>
      <x:c r="N300" s="48"/>
      <x:c r="O300" s="72"/>
    </x:row>
    <x:row r="301">
      <x:c r="A301" s="50"/>
      <x:c r="B301" s="52"/>
      <x:c r="C301" s="46"/>
      <x:c r="D301" s="46"/>
      <x:c r="E301" s="46"/>
      <x:c r="F301" s="46"/>
      <x:c r="G301" s="72"/>
      <x:c r="H301" s="54"/>
      <x:c r="I301" s="46"/>
      <x:c r="J301" s="46"/>
      <x:c r="K301" s="56"/>
      <x:c r="L301" s="56"/>
      <x:c r="M301" s="56"/>
      <x:c r="N301" s="48"/>
      <x:c r="O301" s="72"/>
    </x:row>
    <x:row r="302">
      <x:c r="A302" s="50"/>
      <x:c r="B302" s="52"/>
      <x:c r="C302" s="46"/>
      <x:c r="D302" s="46"/>
      <x:c r="E302" s="46"/>
      <x:c r="F302" s="46"/>
      <x:c r="G302" s="72"/>
      <x:c r="H302" s="54"/>
      <x:c r="I302" s="46"/>
      <x:c r="J302" s="46"/>
      <x:c r="K302" s="56"/>
      <x:c r="L302" s="56"/>
      <x:c r="M302" s="56"/>
      <x:c r="N302" s="48"/>
      <x:c r="O302" s="72"/>
    </x:row>
    <x:row r="303">
      <x:c r="A303" s="50"/>
      <x:c r="B303" s="52"/>
      <x:c r="C303" s="46"/>
      <x:c r="D303" s="46"/>
      <x:c r="E303" s="46"/>
      <x:c r="F303" s="46"/>
      <x:c r="G303" s="72"/>
      <x:c r="H303" s="54"/>
      <x:c r="I303" s="46"/>
      <x:c r="J303" s="46"/>
      <x:c r="K303" s="56"/>
      <x:c r="L303" s="56"/>
      <x:c r="M303" s="56"/>
      <x:c r="N303" s="48"/>
      <x:c r="O303" s="72"/>
    </x:row>
    <x:row r="304">
      <x:c r="A304" s="50"/>
      <x:c r="B304" s="52"/>
      <x:c r="C304" s="46"/>
      <x:c r="D304" s="46"/>
      <x:c r="E304" s="46"/>
      <x:c r="F304" s="46"/>
      <x:c r="G304" s="72"/>
      <x:c r="H304" s="54"/>
      <x:c r="I304" s="46"/>
      <x:c r="J304" s="46"/>
      <x:c r="K304" s="56"/>
      <x:c r="L304" s="56"/>
      <x:c r="M304" s="56"/>
      <x:c r="N304" s="48"/>
      <x:c r="O304" s="72"/>
    </x:row>
    <x:row r="305">
      <x:c r="A305" s="50"/>
      <x:c r="B305" s="52"/>
      <x:c r="C305" s="46"/>
      <x:c r="D305" s="46"/>
      <x:c r="E305" s="46"/>
      <x:c r="F305" s="46"/>
      <x:c r="G305" s="72"/>
      <x:c r="H305" s="54"/>
      <x:c r="I305" s="46"/>
      <x:c r="J305" s="46"/>
      <x:c r="K305" s="56"/>
      <x:c r="L305" s="56"/>
      <x:c r="M305" s="56"/>
      <x:c r="N305" s="48"/>
      <x:c r="O305" s="72"/>
    </x:row>
    <x:row r="306">
      <x:c r="A306" s="50"/>
      <x:c r="B306" s="52"/>
      <x:c r="C306" s="46"/>
      <x:c r="D306" s="46"/>
      <x:c r="E306" s="46"/>
      <x:c r="F306" s="46"/>
      <x:c r="G306" s="72"/>
      <x:c r="H306" s="54"/>
      <x:c r="I306" s="46"/>
      <x:c r="J306" s="46"/>
      <x:c r="K306" s="56"/>
      <x:c r="L306" s="56"/>
      <x:c r="M306" s="56"/>
      <x:c r="N306" s="48"/>
      <x:c r="O306" s="72"/>
    </x:row>
    <x:row r="307">
      <x:c r="A307" s="50"/>
      <x:c r="B307" s="52"/>
      <x:c r="C307" s="46"/>
      <x:c r="D307" s="46"/>
      <x:c r="E307" s="46"/>
      <x:c r="F307" s="46"/>
      <x:c r="G307" s="72"/>
      <x:c r="H307" s="54"/>
      <x:c r="I307" s="46"/>
      <x:c r="J307" s="46"/>
      <x:c r="K307" s="56"/>
      <x:c r="L307" s="56"/>
      <x:c r="M307" s="56"/>
      <x:c r="N307" s="48"/>
      <x:c r="O307" s="72"/>
    </x:row>
    <x:row r="308">
      <x:c r="A308" s="50"/>
      <x:c r="B308" s="52"/>
      <x:c r="C308" s="46"/>
      <x:c r="D308" s="46"/>
      <x:c r="E308" s="46"/>
      <x:c r="F308" s="46"/>
      <x:c r="G308" s="72"/>
      <x:c r="H308" s="54"/>
      <x:c r="I308" s="46"/>
      <x:c r="J308" s="46"/>
      <x:c r="K308" s="56"/>
      <x:c r="L308" s="56"/>
      <x:c r="M308" s="56"/>
      <x:c r="N308" s="48"/>
      <x:c r="O308" s="72"/>
    </x:row>
    <x:row r="309">
      <x:c r="A309" s="50"/>
      <x:c r="B309" s="52"/>
      <x:c r="C309" s="46"/>
      <x:c r="D309" s="46"/>
      <x:c r="E309" s="46"/>
      <x:c r="F309" s="46"/>
      <x:c r="G309" s="72"/>
      <x:c r="H309" s="54"/>
      <x:c r="I309" s="46"/>
      <x:c r="J309" s="46"/>
      <x:c r="K309" s="56"/>
      <x:c r="L309" s="56"/>
      <x:c r="M309" s="56"/>
      <x:c r="N309" s="48"/>
      <x:c r="O309" s="72"/>
    </x:row>
    <x:row r="310">
      <x:c r="A310" s="50"/>
      <x:c r="B310" s="52"/>
      <x:c r="C310" s="46"/>
      <x:c r="D310" s="46"/>
      <x:c r="E310" s="46"/>
      <x:c r="F310" s="46"/>
      <x:c r="G310" s="72"/>
      <x:c r="H310" s="54"/>
      <x:c r="I310" s="46"/>
      <x:c r="J310" s="46"/>
      <x:c r="K310" s="56"/>
      <x:c r="L310" s="56"/>
      <x:c r="M310" s="56"/>
      <x:c r="N310" s="48"/>
      <x:c r="O310" s="72"/>
    </x:row>
    <x:row r="311">
      <x:c r="A311" s="50"/>
      <x:c r="B311" s="52"/>
      <x:c r="C311" s="46"/>
      <x:c r="D311" s="46"/>
      <x:c r="E311" s="46"/>
      <x:c r="F311" s="46"/>
      <x:c r="G311" s="72"/>
      <x:c r="H311" s="54"/>
      <x:c r="I311" s="46"/>
      <x:c r="J311" s="46"/>
      <x:c r="K311" s="56"/>
      <x:c r="L311" s="56"/>
      <x:c r="M311" s="56"/>
      <x:c r="N311" s="48"/>
      <x:c r="O311" s="72"/>
    </x:row>
    <x:row r="312">
      <x:c r="A312" s="50"/>
      <x:c r="B312" s="52"/>
      <x:c r="C312" s="46"/>
      <x:c r="D312" s="46"/>
      <x:c r="E312" s="46"/>
      <x:c r="F312" s="46"/>
      <x:c r="G312" s="72"/>
      <x:c r="H312" s="54"/>
      <x:c r="I312" s="46"/>
      <x:c r="J312" s="46"/>
      <x:c r="K312" s="56"/>
      <x:c r="L312" s="56"/>
      <x:c r="M312" s="56"/>
      <x:c r="N312" s="48"/>
      <x:c r="O312" s="72"/>
    </x:row>
    <x:row r="313">
      <x:c r="A313" s="50"/>
      <x:c r="B313" s="52"/>
      <x:c r="C313" s="46"/>
      <x:c r="D313" s="46"/>
      <x:c r="E313" s="46"/>
      <x:c r="F313" s="46"/>
      <x:c r="G313" s="72"/>
      <x:c r="H313" s="54"/>
      <x:c r="I313" s="46"/>
      <x:c r="J313" s="46"/>
      <x:c r="K313" s="56"/>
      <x:c r="L313" s="56"/>
      <x:c r="M313" s="56"/>
      <x:c r="N313" s="48"/>
      <x:c r="O313" s="72"/>
    </x:row>
    <x:row r="314">
      <x:c r="A314" s="50"/>
      <x:c r="B314" s="52"/>
      <x:c r="C314" s="46"/>
      <x:c r="D314" s="46"/>
      <x:c r="E314" s="46"/>
      <x:c r="F314" s="46"/>
      <x:c r="G314" s="72"/>
      <x:c r="H314" s="54"/>
      <x:c r="I314" s="46"/>
      <x:c r="J314" s="46"/>
      <x:c r="K314" s="56"/>
      <x:c r="L314" s="56"/>
      <x:c r="M314" s="56"/>
      <x:c r="N314" s="48"/>
      <x:c r="O314" s="72"/>
    </x:row>
    <x:row r="315">
      <x:c r="A315" s="50"/>
      <x:c r="B315" s="52"/>
      <x:c r="C315" s="46"/>
      <x:c r="D315" s="46"/>
      <x:c r="E315" s="46"/>
      <x:c r="F315" s="46"/>
      <x:c r="G315" s="72"/>
      <x:c r="H315" s="54"/>
      <x:c r="I315" s="46"/>
      <x:c r="J315" s="46"/>
      <x:c r="K315" s="56"/>
      <x:c r="L315" s="56"/>
      <x:c r="M315" s="56"/>
      <x:c r="N315" s="48"/>
      <x:c r="O315" s="72"/>
    </x:row>
    <x:row r="316">
      <x:c r="A316" s="50"/>
      <x:c r="B316" s="52"/>
      <x:c r="C316" s="46"/>
      <x:c r="D316" s="46"/>
      <x:c r="E316" s="46"/>
      <x:c r="F316" s="46"/>
      <x:c r="G316" s="72"/>
      <x:c r="H316" s="54"/>
      <x:c r="I316" s="46"/>
      <x:c r="J316" s="46"/>
      <x:c r="K316" s="56"/>
      <x:c r="L316" s="56"/>
      <x:c r="M316" s="56"/>
      <x:c r="N316" s="48"/>
      <x:c r="O316" s="72"/>
    </x:row>
    <x:row r="317">
      <x:c r="A317" s="50"/>
      <x:c r="B317" s="52"/>
      <x:c r="C317" s="46"/>
      <x:c r="D317" s="46"/>
      <x:c r="E317" s="46"/>
      <x:c r="F317" s="46"/>
      <x:c r="G317" s="72"/>
      <x:c r="H317" s="54"/>
      <x:c r="I317" s="46"/>
      <x:c r="J317" s="46"/>
      <x:c r="K317" s="56"/>
      <x:c r="L317" s="56"/>
      <x:c r="M317" s="56"/>
      <x:c r="N317" s="48"/>
      <x:c r="O317" s="72"/>
    </x:row>
    <x:row r="318">
      <x:c r="A318" s="50"/>
      <x:c r="B318" s="52"/>
      <x:c r="C318" s="46"/>
      <x:c r="D318" s="46"/>
      <x:c r="E318" s="46"/>
      <x:c r="F318" s="46"/>
      <x:c r="G318" s="72"/>
      <x:c r="H318" s="54"/>
      <x:c r="I318" s="46"/>
      <x:c r="J318" s="46"/>
      <x:c r="K318" s="56"/>
      <x:c r="L318" s="56"/>
      <x:c r="M318" s="56"/>
      <x:c r="N318" s="48"/>
      <x:c r="O318" s="72"/>
    </x:row>
    <x:row r="319">
      <x:c r="A319" s="50"/>
      <x:c r="B319" s="52"/>
      <x:c r="C319" s="46"/>
      <x:c r="D319" s="46"/>
      <x:c r="E319" s="46"/>
      <x:c r="F319" s="46"/>
      <x:c r="G319" s="72"/>
      <x:c r="H319" s="54"/>
      <x:c r="I319" s="46"/>
      <x:c r="J319" s="46"/>
      <x:c r="K319" s="56"/>
      <x:c r="L319" s="56"/>
      <x:c r="M319" s="56"/>
      <x:c r="N319" s="48"/>
      <x:c r="O319" s="72"/>
    </x:row>
    <x:row r="320">
      <x:c r="A320" s="50"/>
      <x:c r="B320" s="52"/>
      <x:c r="C320" s="46"/>
      <x:c r="D320" s="46"/>
      <x:c r="E320" s="46"/>
      <x:c r="F320" s="46"/>
      <x:c r="G320" s="72"/>
      <x:c r="H320" s="54"/>
      <x:c r="I320" s="46"/>
      <x:c r="J320" s="46"/>
      <x:c r="K320" s="56"/>
      <x:c r="L320" s="56"/>
      <x:c r="M320" s="56"/>
      <x:c r="N320" s="48"/>
      <x:c r="O320" s="72"/>
    </x:row>
    <x:row r="321">
      <x:c r="A321" s="50"/>
      <x:c r="B321" s="52"/>
      <x:c r="C321" s="46"/>
      <x:c r="D321" s="46"/>
      <x:c r="E321" s="46"/>
      <x:c r="F321" s="46"/>
      <x:c r="G321" s="72"/>
      <x:c r="H321" s="54"/>
      <x:c r="I321" s="46"/>
      <x:c r="J321" s="46"/>
      <x:c r="K321" s="56"/>
      <x:c r="L321" s="56"/>
      <x:c r="M321" s="56"/>
      <x:c r="N321" s="48"/>
      <x:c r="O321" s="72"/>
    </x:row>
    <x:row r="322">
      <x:c r="A322" s="50"/>
      <x:c r="B322" s="52"/>
      <x:c r="C322" s="46"/>
      <x:c r="D322" s="46"/>
      <x:c r="E322" s="46"/>
      <x:c r="F322" s="46"/>
      <x:c r="G322" s="72"/>
      <x:c r="H322" s="54"/>
      <x:c r="I322" s="46"/>
      <x:c r="J322" s="46"/>
      <x:c r="K322" s="56"/>
      <x:c r="L322" s="56"/>
      <x:c r="M322" s="56"/>
      <x:c r="N322" s="48"/>
      <x:c r="O322" s="72"/>
    </x:row>
    <x:row r="323">
      <x:c r="A323" s="50"/>
      <x:c r="B323" s="52"/>
      <x:c r="C323" s="46"/>
      <x:c r="D323" s="46"/>
      <x:c r="E323" s="46"/>
      <x:c r="F323" s="46"/>
      <x:c r="G323" s="72"/>
      <x:c r="H323" s="54"/>
      <x:c r="I323" s="46"/>
      <x:c r="J323" s="46"/>
      <x:c r="K323" s="56"/>
      <x:c r="L323" s="56"/>
      <x:c r="M323" s="56"/>
      <x:c r="N323" s="48"/>
      <x:c r="O323" s="72"/>
    </x:row>
    <x:row r="324">
      <x:c r="A324" s="50"/>
      <x:c r="B324" s="52"/>
      <x:c r="C324" s="46"/>
      <x:c r="D324" s="46"/>
      <x:c r="E324" s="46"/>
      <x:c r="F324" s="46"/>
      <x:c r="G324" s="72"/>
      <x:c r="H324" s="54"/>
      <x:c r="I324" s="46"/>
      <x:c r="J324" s="46"/>
      <x:c r="K324" s="56"/>
      <x:c r="L324" s="56"/>
      <x:c r="M324" s="56"/>
      <x:c r="N324" s="48"/>
      <x:c r="O324" s="72"/>
    </x:row>
    <x:row r="325">
      <x:c r="A325" s="50"/>
      <x:c r="B325" s="52"/>
      <x:c r="C325" s="46"/>
      <x:c r="D325" s="46"/>
      <x:c r="E325" s="46"/>
      <x:c r="F325" s="46"/>
      <x:c r="G325" s="72"/>
      <x:c r="H325" s="54"/>
      <x:c r="I325" s="46"/>
      <x:c r="J325" s="46"/>
      <x:c r="K325" s="56"/>
      <x:c r="L325" s="56"/>
      <x:c r="M325" s="56"/>
      <x:c r="N325" s="48"/>
      <x:c r="O325" s="72"/>
    </x:row>
    <x:row r="326">
      <x:c r="A326" s="50"/>
      <x:c r="B326" s="52"/>
      <x:c r="C326" s="46"/>
      <x:c r="D326" s="46"/>
      <x:c r="E326" s="46"/>
      <x:c r="F326" s="46"/>
      <x:c r="G326" s="72"/>
      <x:c r="H326" s="54"/>
      <x:c r="I326" s="46"/>
      <x:c r="J326" s="46"/>
      <x:c r="K326" s="56"/>
      <x:c r="L326" s="56"/>
      <x:c r="M326" s="56"/>
      <x:c r="N326" s="48"/>
      <x:c r="O326" s="72"/>
    </x:row>
    <x:row r="327">
      <x:c r="A327" s="50"/>
      <x:c r="B327" s="52"/>
      <x:c r="C327" s="46"/>
      <x:c r="D327" s="46"/>
      <x:c r="E327" s="46"/>
      <x:c r="F327" s="46"/>
      <x:c r="G327" s="72"/>
      <x:c r="H327" s="54"/>
      <x:c r="I327" s="46"/>
      <x:c r="J327" s="46"/>
      <x:c r="K327" s="56"/>
      <x:c r="L327" s="56"/>
      <x:c r="M327" s="56"/>
      <x:c r="N327" s="48"/>
      <x:c r="O327" s="72"/>
    </x:row>
    <x:row r="328">
      <x:c r="A328" s="50"/>
      <x:c r="B328" s="52"/>
      <x:c r="C328" s="46"/>
      <x:c r="D328" s="46"/>
      <x:c r="E328" s="46"/>
      <x:c r="F328" s="46"/>
      <x:c r="G328" s="72"/>
      <x:c r="H328" s="54"/>
      <x:c r="I328" s="46"/>
      <x:c r="J328" s="46"/>
      <x:c r="K328" s="56"/>
      <x:c r="L328" s="56"/>
      <x:c r="M328" s="56"/>
      <x:c r="N328" s="48"/>
      <x:c r="O328" s="72"/>
    </x:row>
    <x:row r="329">
      <x:c r="A329" s="50"/>
      <x:c r="B329" s="52"/>
      <x:c r="C329" s="46"/>
      <x:c r="D329" s="46"/>
      <x:c r="E329" s="46"/>
      <x:c r="F329" s="46"/>
      <x:c r="G329" s="72"/>
      <x:c r="H329" s="54"/>
      <x:c r="I329" s="46"/>
      <x:c r="J329" s="46"/>
      <x:c r="K329" s="56"/>
      <x:c r="L329" s="56"/>
      <x:c r="M329" s="56"/>
      <x:c r="N329" s="48"/>
      <x:c r="O329" s="72"/>
    </x:row>
    <x:row r="330">
      <x:c r="A330" s="50"/>
      <x:c r="B330" s="52"/>
      <x:c r="C330" s="46"/>
      <x:c r="D330" s="46"/>
      <x:c r="E330" s="46"/>
      <x:c r="F330" s="46"/>
      <x:c r="G330" s="72"/>
      <x:c r="H330" s="54"/>
      <x:c r="I330" s="46"/>
      <x:c r="J330" s="46"/>
      <x:c r="K330" s="56"/>
      <x:c r="L330" s="56"/>
      <x:c r="M330" s="56"/>
      <x:c r="N330" s="48"/>
      <x:c r="O330" s="72"/>
    </x:row>
    <x:row r="331">
      <x:c r="A331" s="50"/>
      <x:c r="B331" s="52"/>
      <x:c r="C331" s="46"/>
      <x:c r="D331" s="46"/>
      <x:c r="E331" s="46"/>
      <x:c r="F331" s="46"/>
      <x:c r="G331" s="72"/>
      <x:c r="H331" s="54"/>
      <x:c r="I331" s="46"/>
      <x:c r="J331" s="46"/>
      <x:c r="K331" s="56"/>
      <x:c r="L331" s="56"/>
      <x:c r="M331" s="56"/>
      <x:c r="N331" s="48"/>
      <x:c r="O331" s="72"/>
    </x:row>
    <x:row r="332">
      <x:c r="A332" s="50"/>
      <x:c r="B332" s="52"/>
      <x:c r="C332" s="46"/>
      <x:c r="D332" s="46"/>
      <x:c r="E332" s="46"/>
      <x:c r="F332" s="46"/>
      <x:c r="G332" s="72"/>
      <x:c r="H332" s="54"/>
      <x:c r="I332" s="46"/>
      <x:c r="J332" s="46"/>
      <x:c r="K332" s="56"/>
      <x:c r="L332" s="56"/>
      <x:c r="M332" s="56"/>
      <x:c r="N332" s="48"/>
      <x:c r="O332" s="72"/>
    </x:row>
    <x:row r="333">
      <x:c r="A333" s="50"/>
      <x:c r="B333" s="52"/>
      <x:c r="C333" s="46"/>
      <x:c r="D333" s="46"/>
      <x:c r="E333" s="46"/>
      <x:c r="F333" s="46"/>
      <x:c r="G333" s="72"/>
      <x:c r="H333" s="54"/>
      <x:c r="I333" s="46"/>
      <x:c r="J333" s="46"/>
      <x:c r="K333" s="56"/>
      <x:c r="L333" s="56"/>
      <x:c r="M333" s="56"/>
      <x:c r="N333" s="48"/>
      <x:c r="O333" s="72"/>
    </x:row>
    <x:row r="334">
      <x:c r="A334" s="50"/>
      <x:c r="B334" s="52"/>
      <x:c r="C334" s="46"/>
      <x:c r="D334" s="46"/>
      <x:c r="E334" s="46"/>
      <x:c r="F334" s="46"/>
      <x:c r="G334" s="72"/>
      <x:c r="H334" s="54"/>
      <x:c r="I334" s="46"/>
      <x:c r="J334" s="46"/>
      <x:c r="K334" s="56"/>
      <x:c r="L334" s="56"/>
      <x:c r="M334" s="56"/>
      <x:c r="N334" s="48"/>
      <x:c r="O334" s="72"/>
    </x:row>
    <x:row r="335">
      <x:c r="A335" s="50"/>
      <x:c r="B335" s="52"/>
      <x:c r="C335" s="46"/>
      <x:c r="D335" s="46"/>
      <x:c r="E335" s="46"/>
      <x:c r="F335" s="46"/>
      <x:c r="G335" s="72"/>
      <x:c r="H335" s="54"/>
      <x:c r="I335" s="46"/>
      <x:c r="J335" s="46"/>
      <x:c r="K335" s="56"/>
      <x:c r="L335" s="56"/>
      <x:c r="M335" s="56"/>
      <x:c r="N335" s="48"/>
      <x:c r="O335" s="72"/>
    </x:row>
    <x:row r="336">
      <x:c r="A336" s="50"/>
      <x:c r="B336" s="52"/>
      <x:c r="C336" s="46"/>
      <x:c r="D336" s="46"/>
      <x:c r="E336" s="46"/>
      <x:c r="F336" s="46"/>
      <x:c r="G336" s="72"/>
      <x:c r="H336" s="54"/>
      <x:c r="I336" s="46"/>
      <x:c r="J336" s="46"/>
      <x:c r="K336" s="56"/>
      <x:c r="L336" s="56"/>
      <x:c r="M336" s="56"/>
      <x:c r="N336" s="48"/>
      <x:c r="O336" s="72"/>
    </x:row>
    <x:row r="337">
      <x:c r="A337" s="50"/>
      <x:c r="B337" s="52"/>
      <x:c r="C337" s="46"/>
      <x:c r="D337" s="46"/>
      <x:c r="E337" s="46"/>
      <x:c r="F337" s="46"/>
      <x:c r="G337" s="72"/>
      <x:c r="H337" s="54"/>
      <x:c r="I337" s="46"/>
      <x:c r="J337" s="46"/>
      <x:c r="K337" s="56"/>
      <x:c r="L337" s="56"/>
      <x:c r="M337" s="56"/>
      <x:c r="N337" s="48"/>
      <x:c r="O337" s="72"/>
    </x:row>
    <x:row r="338">
      <x:c r="A338" s="50"/>
      <x:c r="B338" s="52"/>
      <x:c r="C338" s="46"/>
      <x:c r="D338" s="46"/>
      <x:c r="E338" s="46"/>
      <x:c r="F338" s="46"/>
      <x:c r="G338" s="72"/>
      <x:c r="H338" s="54"/>
      <x:c r="I338" s="46"/>
      <x:c r="J338" s="46"/>
      <x:c r="K338" s="56"/>
      <x:c r="L338" s="56"/>
      <x:c r="M338" s="56"/>
      <x:c r="N338" s="48"/>
      <x:c r="O338" s="72"/>
    </x:row>
    <x:row r="339">
      <x:c r="A339" s="50"/>
      <x:c r="B339" s="52"/>
      <x:c r="C339" s="46"/>
      <x:c r="D339" s="46"/>
      <x:c r="E339" s="46"/>
      <x:c r="F339" s="46"/>
      <x:c r="G339" s="72"/>
      <x:c r="H339" s="54"/>
      <x:c r="I339" s="46"/>
      <x:c r="J339" s="46"/>
      <x:c r="K339" s="56"/>
      <x:c r="L339" s="56"/>
      <x:c r="M339" s="56"/>
      <x:c r="N339" s="48"/>
      <x:c r="O339" s="72"/>
    </x:row>
    <x:row r="340">
      <x:c r="A340" s="50"/>
      <x:c r="B340" s="52"/>
      <x:c r="C340" s="46"/>
      <x:c r="D340" s="46"/>
      <x:c r="E340" s="46"/>
      <x:c r="F340" s="46"/>
      <x:c r="G340" s="72"/>
      <x:c r="H340" s="54"/>
      <x:c r="I340" s="46"/>
      <x:c r="J340" s="46"/>
      <x:c r="K340" s="56"/>
      <x:c r="L340" s="56"/>
      <x:c r="M340" s="56"/>
      <x:c r="N340" s="48"/>
      <x:c r="O340" s="72"/>
    </x:row>
    <x:row r="341">
      <x:c r="A341" s="50"/>
      <x:c r="B341" s="52"/>
      <x:c r="C341" s="46"/>
      <x:c r="D341" s="46"/>
      <x:c r="E341" s="46"/>
      <x:c r="F341" s="46"/>
      <x:c r="G341" s="72"/>
      <x:c r="H341" s="54"/>
      <x:c r="I341" s="46"/>
      <x:c r="J341" s="46"/>
      <x:c r="K341" s="56"/>
      <x:c r="L341" s="56"/>
      <x:c r="M341" s="56"/>
      <x:c r="N341" s="48"/>
      <x:c r="O341" s="72"/>
    </x:row>
    <x:row r="342">
      <x:c r="A342" s="50"/>
      <x:c r="B342" s="52"/>
      <x:c r="C342" s="46"/>
      <x:c r="D342" s="46"/>
      <x:c r="E342" s="46"/>
      <x:c r="F342" s="46"/>
      <x:c r="G342" s="72"/>
      <x:c r="H342" s="54"/>
      <x:c r="I342" s="46"/>
      <x:c r="J342" s="46"/>
      <x:c r="K342" s="56"/>
      <x:c r="L342" s="56"/>
      <x:c r="M342" s="56"/>
      <x:c r="N342" s="48"/>
      <x:c r="O342" s="72"/>
    </x:row>
    <x:row r="343">
      <x:c r="A343" s="50"/>
      <x:c r="B343" s="52"/>
      <x:c r="C343" s="46"/>
      <x:c r="D343" s="46"/>
      <x:c r="E343" s="46"/>
      <x:c r="F343" s="46"/>
      <x:c r="G343" s="72"/>
      <x:c r="H343" s="54"/>
      <x:c r="I343" s="46"/>
      <x:c r="J343" s="46"/>
      <x:c r="K343" s="56"/>
      <x:c r="L343" s="56"/>
      <x:c r="M343" s="56"/>
      <x:c r="N343" s="48"/>
      <x:c r="O343" s="72"/>
    </x:row>
    <x:row r="344">
      <x:c r="A344" s="50"/>
      <x:c r="B344" s="52"/>
      <x:c r="C344" s="46"/>
      <x:c r="D344" s="46"/>
      <x:c r="E344" s="46"/>
      <x:c r="F344" s="46"/>
      <x:c r="G344" s="72"/>
      <x:c r="H344" s="54"/>
      <x:c r="I344" s="46"/>
      <x:c r="J344" s="46"/>
      <x:c r="K344" s="56"/>
      <x:c r="L344" s="56"/>
      <x:c r="M344" s="56"/>
      <x:c r="N344" s="48"/>
      <x:c r="O344" s="72"/>
    </x:row>
    <x:row r="345">
      <x:c r="A345" s="50"/>
      <x:c r="B345" s="52"/>
      <x:c r="C345" s="46"/>
      <x:c r="D345" s="46"/>
      <x:c r="E345" s="46"/>
      <x:c r="F345" s="46"/>
      <x:c r="G345" s="72"/>
      <x:c r="H345" s="54"/>
      <x:c r="I345" s="46"/>
      <x:c r="J345" s="46"/>
      <x:c r="K345" s="56"/>
      <x:c r="L345" s="56"/>
      <x:c r="M345" s="56"/>
      <x:c r="N345" s="48"/>
      <x:c r="O345" s="72"/>
    </x:row>
    <x:row r="346">
      <x:c r="A346" s="50"/>
      <x:c r="B346" s="52"/>
      <x:c r="C346" s="46"/>
      <x:c r="D346" s="46"/>
      <x:c r="E346" s="46"/>
      <x:c r="F346" s="46"/>
      <x:c r="G346" s="72"/>
      <x:c r="H346" s="54"/>
      <x:c r="I346" s="46"/>
      <x:c r="J346" s="46"/>
      <x:c r="K346" s="56"/>
      <x:c r="L346" s="56"/>
      <x:c r="M346" s="56"/>
      <x:c r="N346" s="48"/>
      <x:c r="O346" s="72"/>
    </x:row>
    <x:row r="347">
      <x:c r="A347" s="50"/>
      <x:c r="B347" s="52"/>
      <x:c r="C347" s="46"/>
      <x:c r="D347" s="46"/>
      <x:c r="E347" s="46"/>
      <x:c r="F347" s="46"/>
      <x:c r="G347" s="72"/>
      <x:c r="H347" s="54"/>
      <x:c r="I347" s="46"/>
      <x:c r="J347" s="46"/>
      <x:c r="K347" s="56"/>
      <x:c r="L347" s="56"/>
      <x:c r="M347" s="56"/>
      <x:c r="N347" s="48"/>
      <x:c r="O347" s="72"/>
    </x:row>
    <x:row r="348">
      <x:c r="A348" s="50"/>
      <x:c r="B348" s="52"/>
      <x:c r="C348" s="46"/>
      <x:c r="D348" s="46"/>
      <x:c r="E348" s="46"/>
      <x:c r="F348" s="46"/>
      <x:c r="G348" s="72"/>
      <x:c r="H348" s="54"/>
      <x:c r="I348" s="46"/>
      <x:c r="J348" s="46"/>
      <x:c r="K348" s="56"/>
      <x:c r="L348" s="56"/>
      <x:c r="M348" s="56"/>
      <x:c r="N348" s="48"/>
      <x:c r="O348" s="72"/>
    </x:row>
    <x:row r="349">
      <x:c r="A349" s="50"/>
      <x:c r="B349" s="52"/>
      <x:c r="C349" s="46"/>
      <x:c r="D349" s="46"/>
      <x:c r="E349" s="46"/>
      <x:c r="F349" s="46"/>
      <x:c r="G349" s="72"/>
      <x:c r="H349" s="54"/>
      <x:c r="I349" s="46"/>
      <x:c r="J349" s="46"/>
      <x:c r="K349" s="56"/>
      <x:c r="L349" s="56"/>
      <x:c r="M349" s="56"/>
      <x:c r="N349" s="48"/>
      <x:c r="O349" s="72"/>
    </x:row>
    <x:row r="350">
      <x:c r="A350" s="50"/>
      <x:c r="B350" s="52"/>
      <x:c r="C350" s="46"/>
      <x:c r="D350" s="46"/>
      <x:c r="E350" s="46"/>
      <x:c r="F350" s="46"/>
      <x:c r="G350" s="72"/>
      <x:c r="H350" s="54"/>
      <x:c r="I350" s="46"/>
      <x:c r="J350" s="46"/>
      <x:c r="K350" s="56"/>
      <x:c r="L350" s="56"/>
      <x:c r="M350" s="56"/>
      <x:c r="N350" s="48"/>
      <x:c r="O350" s="72"/>
    </x:row>
    <x:row r="351">
      <x:c r="A351" s="50"/>
      <x:c r="B351" s="52"/>
      <x:c r="C351" s="46"/>
      <x:c r="D351" s="46"/>
      <x:c r="E351" s="46"/>
      <x:c r="F351" s="46"/>
      <x:c r="G351" s="72"/>
      <x:c r="H351" s="54"/>
      <x:c r="I351" s="46"/>
      <x:c r="J351" s="46"/>
      <x:c r="K351" s="56"/>
      <x:c r="L351" s="56"/>
      <x:c r="M351" s="56"/>
      <x:c r="N351" s="48"/>
      <x:c r="O351" s="72"/>
    </x:row>
    <x:row r="352">
      <x:c r="A352" s="50"/>
      <x:c r="B352" s="52"/>
      <x:c r="C352" s="46"/>
      <x:c r="D352" s="46"/>
      <x:c r="E352" s="46"/>
      <x:c r="F352" s="46"/>
      <x:c r="G352" s="72"/>
      <x:c r="H352" s="54"/>
      <x:c r="I352" s="46"/>
      <x:c r="J352" s="46"/>
      <x:c r="K352" s="56"/>
      <x:c r="L352" s="56"/>
      <x:c r="M352" s="56"/>
      <x:c r="N352" s="48"/>
      <x:c r="O352" s="72"/>
    </x:row>
    <x:row r="353">
      <x:c r="A353" s="50"/>
      <x:c r="B353" s="52"/>
      <x:c r="C353" s="46"/>
      <x:c r="D353" s="46"/>
      <x:c r="E353" s="46"/>
      <x:c r="F353" s="46"/>
      <x:c r="G353" s="72"/>
      <x:c r="H353" s="54"/>
      <x:c r="I353" s="46"/>
      <x:c r="J353" s="46"/>
      <x:c r="K353" s="56"/>
      <x:c r="L353" s="56"/>
      <x:c r="M353" s="56"/>
      <x:c r="N353" s="48"/>
      <x:c r="O353" s="72"/>
    </x:row>
    <x:row r="354">
      <x:c r="A354" s="50"/>
      <x:c r="B354" s="52"/>
      <x:c r="C354" s="46"/>
      <x:c r="D354" s="46"/>
      <x:c r="E354" s="46"/>
      <x:c r="F354" s="46"/>
      <x:c r="G354" s="72"/>
      <x:c r="H354" s="54"/>
      <x:c r="I354" s="46"/>
      <x:c r="J354" s="46"/>
      <x:c r="K354" s="56"/>
      <x:c r="L354" s="56"/>
      <x:c r="M354" s="56"/>
      <x:c r="N354" s="48"/>
      <x:c r="O354" s="72"/>
    </x:row>
    <x:row r="355">
      <x:c r="A355" s="50"/>
      <x:c r="B355" s="52"/>
      <x:c r="C355" s="46"/>
      <x:c r="D355" s="46"/>
      <x:c r="E355" s="46"/>
      <x:c r="F355" s="46"/>
      <x:c r="G355" s="72"/>
      <x:c r="H355" s="54"/>
      <x:c r="I355" s="46"/>
      <x:c r="J355" s="46"/>
      <x:c r="K355" s="56"/>
      <x:c r="L355" s="56"/>
      <x:c r="M355" s="56"/>
      <x:c r="N355" s="48"/>
      <x:c r="O355" s="72"/>
    </x:row>
    <x:row r="356">
      <x:c r="A356" s="50"/>
      <x:c r="B356" s="52"/>
      <x:c r="C356" s="46"/>
      <x:c r="D356" s="46"/>
      <x:c r="E356" s="46"/>
      <x:c r="F356" s="46"/>
      <x:c r="G356" s="72"/>
      <x:c r="H356" s="54"/>
      <x:c r="I356" s="46"/>
      <x:c r="J356" s="46"/>
      <x:c r="K356" s="56"/>
      <x:c r="L356" s="56"/>
      <x:c r="M356" s="56"/>
      <x:c r="N356" s="48"/>
      <x:c r="O356" s="72"/>
    </x:row>
    <x:row r="357">
      <x:c r="A357" s="50"/>
      <x:c r="B357" s="52"/>
      <x:c r="C357" s="46"/>
      <x:c r="D357" s="46"/>
      <x:c r="E357" s="46"/>
      <x:c r="F357" s="46"/>
      <x:c r="G357" s="72"/>
      <x:c r="H357" s="54"/>
      <x:c r="I357" s="46"/>
      <x:c r="J357" s="46"/>
      <x:c r="K357" s="56"/>
      <x:c r="L357" s="56"/>
      <x:c r="M357" s="56"/>
      <x:c r="N357" s="48"/>
      <x:c r="O357" s="72"/>
    </x:row>
    <x:row r="358">
      <x:c r="A358" s="50"/>
      <x:c r="B358" s="52"/>
      <x:c r="C358" s="46"/>
      <x:c r="D358" s="46"/>
      <x:c r="E358" s="46"/>
      <x:c r="F358" s="46"/>
      <x:c r="G358" s="72"/>
      <x:c r="H358" s="54"/>
      <x:c r="I358" s="46"/>
      <x:c r="J358" s="46"/>
      <x:c r="K358" s="56"/>
      <x:c r="L358" s="56"/>
      <x:c r="M358" s="56"/>
      <x:c r="N358" s="48"/>
      <x:c r="O358" s="72"/>
    </x:row>
    <x:row r="359">
      <x:c r="A359" s="50"/>
      <x:c r="B359" s="52"/>
      <x:c r="C359" s="46"/>
      <x:c r="D359" s="46"/>
      <x:c r="E359" s="46"/>
      <x:c r="F359" s="46"/>
      <x:c r="G359" s="72"/>
      <x:c r="H359" s="54"/>
      <x:c r="I359" s="46"/>
      <x:c r="J359" s="46"/>
      <x:c r="K359" s="56"/>
      <x:c r="L359" s="56"/>
      <x:c r="M359" s="56"/>
      <x:c r="N359" s="48"/>
      <x:c r="O359" s="72"/>
    </x:row>
    <x:row r="360">
      <x:c r="A360" s="50"/>
      <x:c r="B360" s="52"/>
      <x:c r="C360" s="46"/>
      <x:c r="D360" s="46"/>
      <x:c r="E360" s="46"/>
      <x:c r="F360" s="46"/>
      <x:c r="G360" s="72"/>
      <x:c r="H360" s="54"/>
      <x:c r="I360" s="46"/>
      <x:c r="J360" s="46"/>
      <x:c r="K360" s="56"/>
      <x:c r="L360" s="56"/>
      <x:c r="M360" s="56"/>
      <x:c r="N360" s="48"/>
      <x:c r="O360" s="72"/>
    </x:row>
    <x:row r="361">
      <x:c r="A361" s="50"/>
      <x:c r="B361" s="52"/>
      <x:c r="C361" s="46"/>
      <x:c r="D361" s="46"/>
      <x:c r="E361" s="46"/>
      <x:c r="F361" s="46"/>
      <x:c r="G361" s="72"/>
      <x:c r="H361" s="54"/>
      <x:c r="I361" s="46"/>
      <x:c r="J361" s="46"/>
      <x:c r="K361" s="56"/>
      <x:c r="L361" s="56"/>
      <x:c r="M361" s="56"/>
      <x:c r="N361" s="48"/>
      <x:c r="O361" s="72"/>
    </x:row>
    <x:row r="362">
      <x:c r="A362" s="50"/>
      <x:c r="B362" s="52"/>
      <x:c r="C362" s="46"/>
      <x:c r="D362" s="46"/>
      <x:c r="E362" s="46"/>
      <x:c r="F362" s="46"/>
      <x:c r="G362" s="72"/>
      <x:c r="H362" s="54"/>
      <x:c r="I362" s="46"/>
      <x:c r="J362" s="46"/>
      <x:c r="K362" s="56"/>
      <x:c r="L362" s="56"/>
      <x:c r="M362" s="56"/>
      <x:c r="N362" s="48"/>
      <x:c r="O362" s="72"/>
    </x:row>
    <x:row r="363">
      <x:c r="A363" s="50"/>
      <x:c r="B363" s="52"/>
      <x:c r="C363" s="46"/>
      <x:c r="D363" s="46"/>
      <x:c r="E363" s="46"/>
      <x:c r="F363" s="46"/>
      <x:c r="G363" s="72"/>
      <x:c r="H363" s="54"/>
      <x:c r="I363" s="46"/>
      <x:c r="J363" s="46"/>
      <x:c r="K363" s="56"/>
      <x:c r="L363" s="56"/>
      <x:c r="M363" s="56"/>
      <x:c r="N363" s="48"/>
      <x:c r="O363" s="72"/>
    </x:row>
    <x:row r="364">
      <x:c r="A364" s="50"/>
      <x:c r="B364" s="52"/>
      <x:c r="C364" s="46"/>
      <x:c r="D364" s="46"/>
      <x:c r="E364" s="46"/>
      <x:c r="F364" s="46"/>
      <x:c r="G364" s="72"/>
      <x:c r="H364" s="54"/>
      <x:c r="I364" s="46"/>
      <x:c r="J364" s="46"/>
      <x:c r="K364" s="56"/>
      <x:c r="L364" s="56"/>
      <x:c r="M364" s="56"/>
      <x:c r="N364" s="48"/>
      <x:c r="O364" s="72"/>
    </x:row>
    <x:row r="365">
      <x:c r="A365" s="50"/>
      <x:c r="B365" s="52"/>
      <x:c r="C365" s="46"/>
      <x:c r="D365" s="46"/>
      <x:c r="E365" s="46"/>
      <x:c r="F365" s="46"/>
      <x:c r="G365" s="72"/>
      <x:c r="H365" s="54"/>
      <x:c r="I365" s="46"/>
      <x:c r="J365" s="46"/>
      <x:c r="K365" s="56"/>
      <x:c r="L365" s="56"/>
      <x:c r="M365" s="56"/>
      <x:c r="N365" s="48"/>
      <x:c r="O365" s="72"/>
    </x:row>
    <x:row r="366">
      <x:c r="A366" s="50"/>
      <x:c r="B366" s="52"/>
      <x:c r="C366" s="46"/>
      <x:c r="D366" s="46"/>
      <x:c r="E366" s="46"/>
      <x:c r="F366" s="46"/>
      <x:c r="G366" s="72"/>
      <x:c r="H366" s="54"/>
      <x:c r="I366" s="46"/>
      <x:c r="J366" s="46"/>
      <x:c r="K366" s="56"/>
      <x:c r="L366" s="56"/>
      <x:c r="M366" s="56"/>
      <x:c r="N366" s="48"/>
      <x:c r="O366" s="72"/>
    </x:row>
    <x:row r="367">
      <x:c r="A367" s="50"/>
      <x:c r="B367" s="52"/>
      <x:c r="C367" s="46"/>
      <x:c r="D367" s="46"/>
      <x:c r="E367" s="46"/>
      <x:c r="F367" s="46"/>
      <x:c r="G367" s="72"/>
      <x:c r="H367" s="54"/>
      <x:c r="I367" s="46"/>
      <x:c r="J367" s="46"/>
      <x:c r="K367" s="56"/>
      <x:c r="L367" s="56"/>
      <x:c r="M367" s="56"/>
      <x:c r="N367" s="48"/>
      <x:c r="O367" s="72"/>
    </x:row>
    <x:row r="368">
      <x:c r="A368" s="50"/>
      <x:c r="B368" s="52"/>
      <x:c r="C368" s="46"/>
      <x:c r="D368" s="46"/>
      <x:c r="E368" s="46"/>
      <x:c r="F368" s="46"/>
      <x:c r="G368" s="72"/>
      <x:c r="H368" s="54"/>
      <x:c r="I368" s="46"/>
      <x:c r="J368" s="46"/>
      <x:c r="K368" s="56"/>
      <x:c r="L368" s="56"/>
      <x:c r="M368" s="56"/>
      <x:c r="N368" s="48"/>
      <x:c r="O368" s="72"/>
    </x:row>
    <x:row r="369">
      <x:c r="A369" s="50"/>
      <x:c r="B369" s="52"/>
      <x:c r="C369" s="46"/>
      <x:c r="D369" s="46"/>
      <x:c r="E369" s="46"/>
      <x:c r="F369" s="46"/>
      <x:c r="G369" s="72"/>
      <x:c r="H369" s="54"/>
      <x:c r="I369" s="46"/>
      <x:c r="J369" s="46"/>
      <x:c r="K369" s="56"/>
      <x:c r="L369" s="56"/>
      <x:c r="M369" s="56"/>
      <x:c r="N369" s="48"/>
      <x:c r="O369" s="72"/>
    </x:row>
    <x:row r="370">
      <x:c r="A370" s="50"/>
      <x:c r="B370" s="52"/>
      <x:c r="C370" s="46"/>
      <x:c r="D370" s="46"/>
      <x:c r="E370" s="46"/>
      <x:c r="F370" s="46"/>
      <x:c r="G370" s="72"/>
      <x:c r="H370" s="54"/>
      <x:c r="I370" s="46"/>
      <x:c r="J370" s="46"/>
      <x:c r="K370" s="56"/>
      <x:c r="L370" s="56"/>
      <x:c r="M370" s="56"/>
      <x:c r="N370" s="48"/>
      <x:c r="O370" s="72"/>
    </x:row>
    <x:row r="371">
      <x:c r="A371" s="50"/>
      <x:c r="B371" s="52"/>
      <x:c r="C371" s="46"/>
      <x:c r="D371" s="46"/>
      <x:c r="E371" s="46"/>
      <x:c r="F371" s="46"/>
      <x:c r="G371" s="72"/>
      <x:c r="H371" s="54"/>
      <x:c r="I371" s="46"/>
      <x:c r="J371" s="46"/>
      <x:c r="K371" s="56"/>
      <x:c r="L371" s="56"/>
      <x:c r="M371" s="56"/>
      <x:c r="N371" s="48"/>
      <x:c r="O371" s="72"/>
    </x:row>
    <x:row r="372">
      <x:c r="A372" s="50"/>
      <x:c r="B372" s="52"/>
      <x:c r="C372" s="46"/>
      <x:c r="D372" s="46"/>
      <x:c r="E372" s="46"/>
      <x:c r="F372" s="46"/>
      <x:c r="G372" s="72"/>
      <x:c r="H372" s="54"/>
      <x:c r="I372" s="46"/>
      <x:c r="J372" s="46"/>
      <x:c r="K372" s="56"/>
      <x:c r="L372" s="56"/>
      <x:c r="M372" s="56"/>
      <x:c r="N372" s="48"/>
      <x:c r="O372" s="72"/>
    </x:row>
    <x:row r="373">
      <x:c r="A373" s="50"/>
      <x:c r="B373" s="52"/>
      <x:c r="C373" s="46"/>
      <x:c r="D373" s="46"/>
      <x:c r="E373" s="46"/>
      <x:c r="F373" s="46"/>
      <x:c r="G373" s="72"/>
      <x:c r="H373" s="54"/>
      <x:c r="I373" s="46"/>
      <x:c r="J373" s="46"/>
      <x:c r="K373" s="56"/>
      <x:c r="L373" s="56"/>
      <x:c r="M373" s="56"/>
      <x:c r="N373" s="48"/>
      <x:c r="O373" s="72"/>
    </x:row>
    <x:row r="374">
      <x:c r="A374" s="50"/>
      <x:c r="B374" s="52"/>
      <x:c r="C374" s="46"/>
      <x:c r="D374" s="46"/>
      <x:c r="E374" s="46"/>
      <x:c r="F374" s="46"/>
      <x:c r="G374" s="72"/>
      <x:c r="H374" s="54"/>
      <x:c r="I374" s="46"/>
      <x:c r="J374" s="46"/>
      <x:c r="K374" s="56"/>
      <x:c r="L374" s="56"/>
      <x:c r="M374" s="56"/>
      <x:c r="N374" s="48"/>
      <x:c r="O374" s="72"/>
    </x:row>
    <x:row r="375">
      <x:c r="A375" s="50"/>
      <x:c r="B375" s="52"/>
      <x:c r="C375" s="46"/>
      <x:c r="D375" s="46"/>
      <x:c r="E375" s="46"/>
      <x:c r="F375" s="46"/>
      <x:c r="G375" s="72"/>
      <x:c r="H375" s="54"/>
      <x:c r="I375" s="46"/>
      <x:c r="J375" s="46"/>
      <x:c r="K375" s="56"/>
      <x:c r="L375" s="56"/>
      <x:c r="M375" s="56"/>
      <x:c r="N375" s="48"/>
      <x:c r="O375" s="72"/>
    </x:row>
    <x:row r="376">
      <x:c r="A376" s="50"/>
      <x:c r="B376" s="52"/>
      <x:c r="C376" s="46"/>
      <x:c r="D376" s="46"/>
      <x:c r="E376" s="46"/>
      <x:c r="F376" s="46"/>
      <x:c r="G376" s="72"/>
      <x:c r="H376" s="54"/>
      <x:c r="I376" s="46"/>
      <x:c r="J376" s="46"/>
      <x:c r="K376" s="56"/>
      <x:c r="L376" s="56"/>
      <x:c r="M376" s="56"/>
      <x:c r="N376" s="48"/>
      <x:c r="O376" s="72"/>
    </x:row>
    <x:row r="377">
      <x:c r="A377" s="50"/>
      <x:c r="B377" s="52"/>
      <x:c r="C377" s="46"/>
      <x:c r="D377" s="46"/>
      <x:c r="E377" s="46"/>
      <x:c r="F377" s="46"/>
      <x:c r="G377" s="72"/>
      <x:c r="H377" s="54"/>
      <x:c r="I377" s="46"/>
      <x:c r="J377" s="46"/>
      <x:c r="K377" s="56"/>
      <x:c r="L377" s="56"/>
      <x:c r="M377" s="56"/>
      <x:c r="N377" s="48"/>
      <x:c r="O377" s="72"/>
    </x:row>
    <x:row r="378">
      <x:c r="A378" s="50"/>
      <x:c r="B378" s="52"/>
      <x:c r="C378" s="46"/>
      <x:c r="D378" s="46"/>
      <x:c r="E378" s="46"/>
      <x:c r="F378" s="46"/>
      <x:c r="G378" s="72"/>
      <x:c r="H378" s="54"/>
      <x:c r="I378" s="46"/>
      <x:c r="J378" s="46"/>
      <x:c r="K378" s="56"/>
      <x:c r="L378" s="56"/>
      <x:c r="M378" s="56"/>
      <x:c r="N378" s="48"/>
      <x:c r="O378" s="72"/>
    </x:row>
    <x:row r="379">
      <x:c r="A379" s="50"/>
      <x:c r="B379" s="52"/>
      <x:c r="C379" s="46"/>
      <x:c r="D379" s="46"/>
      <x:c r="E379" s="46"/>
      <x:c r="F379" s="46"/>
      <x:c r="G379" s="72"/>
      <x:c r="H379" s="54"/>
      <x:c r="I379" s="46"/>
      <x:c r="J379" s="46"/>
      <x:c r="K379" s="56"/>
      <x:c r="L379" s="56"/>
      <x:c r="M379" s="56"/>
      <x:c r="N379" s="48"/>
      <x:c r="O379" s="72"/>
    </x:row>
    <x:row r="380">
      <x:c r="A380" s="50"/>
      <x:c r="B380" s="52"/>
      <x:c r="C380" s="46"/>
      <x:c r="D380" s="46"/>
      <x:c r="E380" s="46"/>
      <x:c r="F380" s="46"/>
      <x:c r="G380" s="72"/>
      <x:c r="H380" s="54"/>
      <x:c r="I380" s="46"/>
      <x:c r="J380" s="46"/>
      <x:c r="K380" s="56"/>
      <x:c r="L380" s="56"/>
      <x:c r="M380" s="56"/>
      <x:c r="N380" s="48"/>
      <x:c r="O380" s="72"/>
    </x:row>
    <x:row r="381">
      <x:c r="A381" s="50"/>
      <x:c r="B381" s="52"/>
      <x:c r="C381" s="46"/>
      <x:c r="D381" s="46"/>
      <x:c r="E381" s="46"/>
      <x:c r="F381" s="46"/>
      <x:c r="G381" s="72"/>
      <x:c r="H381" s="54"/>
      <x:c r="I381" s="46"/>
      <x:c r="J381" s="46"/>
      <x:c r="K381" s="56"/>
      <x:c r="L381" s="56"/>
      <x:c r="M381" s="56"/>
      <x:c r="N381" s="48"/>
      <x:c r="O381" s="72"/>
    </x:row>
    <x:row r="382">
      <x:c r="A382" s="50"/>
      <x:c r="B382" s="52"/>
      <x:c r="C382" s="46"/>
      <x:c r="D382" s="46"/>
      <x:c r="E382" s="46"/>
      <x:c r="F382" s="46"/>
      <x:c r="G382" s="72"/>
      <x:c r="H382" s="54"/>
      <x:c r="I382" s="46"/>
      <x:c r="J382" s="46"/>
      <x:c r="K382" s="56"/>
      <x:c r="L382" s="56"/>
      <x:c r="M382" s="56"/>
      <x:c r="N382" s="48"/>
      <x:c r="O382" s="72"/>
    </x:row>
    <x:row r="383">
      <x:c r="A383" s="50"/>
      <x:c r="B383" s="52"/>
      <x:c r="C383" s="46"/>
      <x:c r="D383" s="46"/>
      <x:c r="E383" s="46"/>
      <x:c r="F383" s="46"/>
      <x:c r="G383" s="72"/>
      <x:c r="H383" s="54"/>
      <x:c r="I383" s="46"/>
      <x:c r="J383" s="46"/>
      <x:c r="K383" s="56"/>
      <x:c r="L383" s="56"/>
      <x:c r="M383" s="56"/>
      <x:c r="N383" s="48"/>
      <x:c r="O383" s="72"/>
    </x:row>
    <x:row r="384">
      <x:c r="A384" s="50"/>
      <x:c r="B384" s="52"/>
      <x:c r="C384" s="46"/>
      <x:c r="D384" s="46"/>
      <x:c r="E384" s="46"/>
      <x:c r="F384" s="46"/>
      <x:c r="G384" s="72"/>
      <x:c r="H384" s="54"/>
      <x:c r="I384" s="46"/>
      <x:c r="J384" s="46"/>
      <x:c r="K384" s="56"/>
      <x:c r="L384" s="56"/>
      <x:c r="M384" s="56"/>
      <x:c r="N384" s="48"/>
      <x:c r="O384" s="72"/>
    </x:row>
    <x:row r="385">
      <x:c r="A385" s="50"/>
      <x:c r="B385" s="52"/>
      <x:c r="C385" s="46"/>
      <x:c r="D385" s="46"/>
      <x:c r="E385" s="46"/>
      <x:c r="F385" s="46"/>
      <x:c r="G385" s="72"/>
      <x:c r="H385" s="54"/>
      <x:c r="I385" s="46"/>
      <x:c r="J385" s="46"/>
      <x:c r="K385" s="56"/>
      <x:c r="L385" s="56"/>
      <x:c r="M385" s="56"/>
      <x:c r="N385" s="48"/>
      <x:c r="O385" s="72"/>
    </x:row>
    <x:row r="386">
      <x:c r="A386" s="50"/>
      <x:c r="B386" s="52"/>
      <x:c r="C386" s="46"/>
      <x:c r="D386" s="46"/>
      <x:c r="E386" s="46"/>
      <x:c r="F386" s="46"/>
      <x:c r="G386" s="72"/>
      <x:c r="H386" s="54"/>
      <x:c r="I386" s="46"/>
      <x:c r="J386" s="46"/>
      <x:c r="K386" s="56"/>
      <x:c r="L386" s="56"/>
      <x:c r="M386" s="56"/>
      <x:c r="N386" s="48"/>
      <x:c r="O386" s="72"/>
    </x:row>
    <x:row r="387">
      <x:c r="A387" s="50"/>
      <x:c r="B387" s="52"/>
      <x:c r="C387" s="46"/>
      <x:c r="D387" s="46"/>
      <x:c r="E387" s="46"/>
      <x:c r="F387" s="46"/>
      <x:c r="G387" s="72"/>
      <x:c r="H387" s="54"/>
      <x:c r="I387" s="46"/>
      <x:c r="J387" s="46"/>
      <x:c r="K387" s="56"/>
      <x:c r="L387" s="56"/>
      <x:c r="M387" s="56"/>
      <x:c r="N387" s="48"/>
      <x:c r="O387" s="72"/>
    </x:row>
    <x:row r="388">
      <x:c r="A388" s="50"/>
      <x:c r="B388" s="52"/>
      <x:c r="C388" s="46"/>
      <x:c r="D388" s="46"/>
      <x:c r="E388" s="46"/>
      <x:c r="F388" s="46"/>
      <x:c r="G388" s="72"/>
      <x:c r="H388" s="54"/>
      <x:c r="I388" s="46"/>
      <x:c r="J388" s="46"/>
      <x:c r="K388" s="56"/>
      <x:c r="L388" s="56"/>
      <x:c r="M388" s="56"/>
      <x:c r="N388" s="48"/>
      <x:c r="O388" s="72"/>
    </x:row>
    <x:row r="389">
      <x:c r="A389" s="50"/>
      <x:c r="B389" s="52"/>
      <x:c r="C389" s="46"/>
      <x:c r="D389" s="46"/>
      <x:c r="E389" s="46"/>
      <x:c r="F389" s="46"/>
      <x:c r="G389" s="72"/>
      <x:c r="H389" s="54"/>
      <x:c r="I389" s="46"/>
      <x:c r="J389" s="46"/>
      <x:c r="K389" s="56"/>
      <x:c r="L389" s="56"/>
      <x:c r="M389" s="56"/>
      <x:c r="N389" s="48"/>
      <x:c r="O389" s="72"/>
    </x:row>
    <x:row r="390">
      <x:c r="A390" s="50"/>
      <x:c r="B390" s="52"/>
      <x:c r="C390" s="46"/>
      <x:c r="D390" s="46"/>
      <x:c r="E390" s="46"/>
      <x:c r="F390" s="46"/>
      <x:c r="G390" s="72"/>
      <x:c r="H390" s="54"/>
      <x:c r="I390" s="46"/>
      <x:c r="J390" s="46"/>
      <x:c r="K390" s="56"/>
      <x:c r="L390" s="56"/>
      <x:c r="M390" s="56"/>
      <x:c r="N390" s="48"/>
      <x:c r="O390" s="72"/>
    </x:row>
    <x:row r="391">
      <x:c r="A391" s="50"/>
      <x:c r="B391" s="52"/>
      <x:c r="C391" s="46"/>
      <x:c r="D391" s="46"/>
      <x:c r="E391" s="46"/>
      <x:c r="F391" s="46"/>
      <x:c r="G391" s="72"/>
      <x:c r="H391" s="54"/>
      <x:c r="I391" s="46"/>
      <x:c r="J391" s="46"/>
      <x:c r="K391" s="56"/>
      <x:c r="L391" s="56"/>
      <x:c r="M391" s="56"/>
      <x:c r="N391" s="48"/>
      <x:c r="O391" s="72"/>
    </x:row>
    <x:row r="392">
      <x:c r="A392" s="50"/>
      <x:c r="B392" s="52"/>
      <x:c r="C392" s="46"/>
      <x:c r="D392" s="46"/>
      <x:c r="E392" s="46"/>
      <x:c r="F392" s="46"/>
      <x:c r="G392" s="72"/>
      <x:c r="H392" s="54"/>
      <x:c r="I392" s="46"/>
      <x:c r="J392" s="46"/>
      <x:c r="K392" s="56"/>
      <x:c r="L392" s="56"/>
      <x:c r="M392" s="56"/>
      <x:c r="N392" s="48"/>
      <x:c r="O392" s="72"/>
    </x:row>
    <x:row r="393">
      <x:c r="A393" s="50"/>
      <x:c r="B393" s="52"/>
      <x:c r="C393" s="46"/>
      <x:c r="D393" s="46"/>
      <x:c r="E393" s="46"/>
      <x:c r="F393" s="46"/>
      <x:c r="G393" s="72"/>
      <x:c r="H393" s="54"/>
      <x:c r="I393" s="46"/>
      <x:c r="J393" s="46"/>
      <x:c r="K393" s="56"/>
      <x:c r="L393" s="56"/>
      <x:c r="M393" s="56"/>
      <x:c r="N393" s="48"/>
      <x:c r="O393" s="72"/>
    </x:row>
    <x:row r="394">
      <x:c r="A394" s="50"/>
      <x:c r="B394" s="52"/>
      <x:c r="C394" s="46"/>
      <x:c r="D394" s="46"/>
      <x:c r="E394" s="46"/>
      <x:c r="F394" s="46"/>
      <x:c r="G394" s="72"/>
      <x:c r="H394" s="54"/>
      <x:c r="I394" s="46"/>
      <x:c r="J394" s="46"/>
      <x:c r="K394" s="56"/>
      <x:c r="L394" s="56"/>
      <x:c r="M394" s="56"/>
      <x:c r="N394" s="48"/>
      <x:c r="O394" s="72"/>
    </x:row>
    <x:row r="395">
      <x:c r="A395" s="50"/>
      <x:c r="B395" s="52"/>
      <x:c r="C395" s="46"/>
      <x:c r="D395" s="46"/>
      <x:c r="E395" s="46"/>
      <x:c r="F395" s="46"/>
      <x:c r="G395" s="72"/>
      <x:c r="H395" s="54"/>
      <x:c r="I395" s="46"/>
      <x:c r="J395" s="46"/>
      <x:c r="K395" s="56"/>
      <x:c r="L395" s="56"/>
      <x:c r="M395" s="56"/>
      <x:c r="N395" s="48"/>
      <x:c r="O395" s="72"/>
    </x:row>
    <x:row r="396">
      <x:c r="A396" s="50"/>
      <x:c r="B396" s="52"/>
      <x:c r="C396" s="46"/>
      <x:c r="D396" s="46"/>
      <x:c r="E396" s="46"/>
      <x:c r="F396" s="46"/>
      <x:c r="G396" s="72"/>
      <x:c r="H396" s="54"/>
      <x:c r="I396" s="46"/>
      <x:c r="J396" s="46"/>
      <x:c r="K396" s="56"/>
      <x:c r="L396" s="56"/>
      <x:c r="M396" s="56"/>
      <x:c r="N396" s="48"/>
      <x:c r="O396" s="72"/>
    </x:row>
    <x:row r="397">
      <x:c r="A397" s="50"/>
      <x:c r="B397" s="52"/>
      <x:c r="C397" s="46"/>
      <x:c r="D397" s="46"/>
      <x:c r="E397" s="46"/>
      <x:c r="F397" s="46"/>
      <x:c r="G397" s="72"/>
      <x:c r="H397" s="54"/>
      <x:c r="I397" s="46"/>
      <x:c r="J397" s="46"/>
      <x:c r="K397" s="56"/>
      <x:c r="L397" s="56"/>
      <x:c r="M397" s="56"/>
      <x:c r="N397" s="48"/>
      <x:c r="O397" s="72"/>
    </x:row>
    <x:row r="398">
      <x:c r="A398" s="50"/>
      <x:c r="B398" s="52"/>
      <x:c r="C398" s="46"/>
      <x:c r="D398" s="46"/>
      <x:c r="E398" s="46"/>
      <x:c r="F398" s="46"/>
      <x:c r="G398" s="72"/>
      <x:c r="H398" s="54"/>
      <x:c r="I398" s="46"/>
      <x:c r="J398" s="46"/>
      <x:c r="K398" s="56"/>
      <x:c r="L398" s="56"/>
      <x:c r="M398" s="56"/>
      <x:c r="N398" s="48"/>
      <x:c r="O398" s="72"/>
    </x:row>
    <x:row r="399">
      <x:c r="A399" s="50"/>
      <x:c r="B399" s="52"/>
      <x:c r="C399" s="46"/>
      <x:c r="D399" s="46"/>
      <x:c r="E399" s="46"/>
      <x:c r="F399" s="46"/>
      <x:c r="G399" s="72"/>
      <x:c r="H399" s="54"/>
      <x:c r="I399" s="46"/>
      <x:c r="J399" s="46"/>
      <x:c r="K399" s="56"/>
      <x:c r="L399" s="56"/>
      <x:c r="M399" s="56"/>
      <x:c r="N399" s="48"/>
      <x:c r="O399" s="72"/>
    </x:row>
    <x:row r="400">
      <x:c r="A400" s="50"/>
      <x:c r="B400" s="52"/>
      <x:c r="C400" s="46"/>
      <x:c r="D400" s="46"/>
      <x:c r="E400" s="46"/>
      <x:c r="F400" s="46"/>
      <x:c r="G400" s="72"/>
      <x:c r="H400" s="54"/>
      <x:c r="I400" s="46"/>
      <x:c r="J400" s="46"/>
      <x:c r="K400" s="56"/>
      <x:c r="L400" s="56"/>
      <x:c r="M400" s="56"/>
      <x:c r="N400" s="48"/>
      <x:c r="O400" s="72"/>
    </x:row>
    <x:row r="401">
      <x:c r="A401" s="50"/>
      <x:c r="B401" s="52"/>
      <x:c r="C401" s="46"/>
      <x:c r="D401" s="46"/>
      <x:c r="E401" s="46"/>
      <x:c r="F401" s="46"/>
      <x:c r="G401" s="72"/>
      <x:c r="H401" s="54"/>
      <x:c r="I401" s="46"/>
      <x:c r="J401" s="46"/>
      <x:c r="K401" s="56"/>
      <x:c r="L401" s="56"/>
      <x:c r="M401" s="56"/>
      <x:c r="N401" s="48"/>
      <x:c r="O401" s="72"/>
    </x:row>
    <x:row r="402">
      <x:c r="A402" s="50"/>
      <x:c r="B402" s="52"/>
      <x:c r="C402" s="46"/>
      <x:c r="D402" s="46"/>
      <x:c r="E402" s="46"/>
      <x:c r="F402" s="46"/>
      <x:c r="G402" s="72"/>
      <x:c r="H402" s="54"/>
      <x:c r="I402" s="46"/>
      <x:c r="J402" s="46"/>
      <x:c r="K402" s="56"/>
      <x:c r="L402" s="56"/>
      <x:c r="M402" s="56"/>
      <x:c r="N402" s="48"/>
      <x:c r="O402" s="72"/>
    </x:row>
    <x:row r="403">
      <x:c r="A403" s="50"/>
      <x:c r="B403" s="52"/>
      <x:c r="C403" s="46"/>
      <x:c r="D403" s="46"/>
      <x:c r="E403" s="46"/>
      <x:c r="F403" s="46"/>
      <x:c r="G403" s="72"/>
      <x:c r="H403" s="54"/>
      <x:c r="I403" s="46"/>
      <x:c r="J403" s="46"/>
      <x:c r="K403" s="56"/>
      <x:c r="L403" s="56"/>
      <x:c r="M403" s="56"/>
      <x:c r="N403" s="48"/>
      <x:c r="O403" s="72"/>
    </x:row>
    <x:row r="404">
      <x:c r="A404" s="50"/>
      <x:c r="B404" s="52"/>
      <x:c r="C404" s="46"/>
      <x:c r="D404" s="46"/>
      <x:c r="E404" s="46"/>
      <x:c r="F404" s="46"/>
      <x:c r="G404" s="72"/>
      <x:c r="H404" s="54"/>
      <x:c r="I404" s="46"/>
      <x:c r="J404" s="46"/>
      <x:c r="K404" s="56"/>
      <x:c r="L404" s="56"/>
      <x:c r="M404" s="56"/>
      <x:c r="N404" s="48"/>
      <x:c r="O404" s="72"/>
    </x:row>
    <x:row r="405">
      <x:c r="A405" s="50"/>
      <x:c r="B405" s="52"/>
      <x:c r="C405" s="46"/>
      <x:c r="D405" s="46"/>
      <x:c r="E405" s="46"/>
      <x:c r="F405" s="46"/>
      <x:c r="G405" s="72"/>
      <x:c r="H405" s="54"/>
      <x:c r="I405" s="46"/>
      <x:c r="J405" s="46"/>
      <x:c r="K405" s="56"/>
      <x:c r="L405" s="56"/>
      <x:c r="M405" s="56"/>
      <x:c r="N405" s="48"/>
      <x:c r="O405" s="72"/>
    </x:row>
    <x:row r="406">
      <x:c r="A406" s="50"/>
      <x:c r="B406" s="52"/>
      <x:c r="C406" s="46"/>
      <x:c r="D406" s="46"/>
      <x:c r="E406" s="46"/>
      <x:c r="F406" s="46"/>
      <x:c r="G406" s="72"/>
      <x:c r="H406" s="54"/>
      <x:c r="I406" s="46"/>
      <x:c r="J406" s="46"/>
      <x:c r="K406" s="56"/>
      <x:c r="L406" s="56"/>
      <x:c r="M406" s="56"/>
      <x:c r="N406" s="48"/>
      <x:c r="O406" s="72"/>
    </x:row>
    <x:row r="407">
      <x:c r="A407" s="50"/>
      <x:c r="B407" s="52"/>
      <x:c r="C407" s="46"/>
      <x:c r="D407" s="46"/>
      <x:c r="E407" s="46"/>
      <x:c r="F407" s="46"/>
      <x:c r="G407" s="72"/>
      <x:c r="H407" s="54"/>
      <x:c r="I407" s="46"/>
      <x:c r="J407" s="46"/>
      <x:c r="K407" s="56"/>
      <x:c r="L407" s="56"/>
      <x:c r="M407" s="56"/>
      <x:c r="N407" s="48"/>
      <x:c r="O407" s="72"/>
    </x:row>
    <x:row r="408">
      <x:c r="A408" s="50"/>
      <x:c r="B408" s="52"/>
      <x:c r="C408" s="46"/>
      <x:c r="D408" s="46"/>
      <x:c r="E408" s="46"/>
      <x:c r="F408" s="46"/>
      <x:c r="G408" s="72"/>
      <x:c r="H408" s="54"/>
      <x:c r="I408" s="46"/>
      <x:c r="J408" s="46"/>
      <x:c r="K408" s="56"/>
      <x:c r="L408" s="56"/>
      <x:c r="M408" s="56"/>
      <x:c r="N408" s="48"/>
      <x:c r="O408" s="72"/>
    </x:row>
    <x:row r="409">
      <x:c r="A409" s="50"/>
      <x:c r="B409" s="52"/>
      <x:c r="C409" s="46"/>
      <x:c r="D409" s="46"/>
      <x:c r="E409" s="46"/>
      <x:c r="F409" s="46"/>
      <x:c r="G409" s="72"/>
      <x:c r="H409" s="54"/>
      <x:c r="I409" s="46"/>
      <x:c r="J409" s="46"/>
      <x:c r="K409" s="56"/>
      <x:c r="L409" s="56"/>
      <x:c r="M409" s="56"/>
      <x:c r="N409" s="48"/>
      <x:c r="O409" s="72"/>
    </x:row>
    <x:row r="410">
      <x:c r="A410" s="50"/>
      <x:c r="B410" s="52"/>
      <x:c r="C410" s="46"/>
      <x:c r="D410" s="46"/>
      <x:c r="E410" s="46"/>
      <x:c r="F410" s="46"/>
      <x:c r="G410" s="72"/>
      <x:c r="H410" s="54"/>
      <x:c r="I410" s="46"/>
      <x:c r="J410" s="46"/>
      <x:c r="K410" s="56"/>
      <x:c r="L410" s="56"/>
      <x:c r="M410" s="56"/>
      <x:c r="N410" s="48"/>
      <x:c r="O410" s="72"/>
    </x:row>
    <x:row r="411">
      <x:c r="A411" s="50"/>
      <x:c r="B411" s="52"/>
      <x:c r="C411" s="46"/>
      <x:c r="D411" s="46"/>
      <x:c r="E411" s="46"/>
      <x:c r="F411" s="46"/>
      <x:c r="G411" s="72"/>
      <x:c r="H411" s="54"/>
      <x:c r="I411" s="46"/>
      <x:c r="J411" s="46"/>
      <x:c r="K411" s="56"/>
      <x:c r="L411" s="56"/>
      <x:c r="M411" s="56"/>
      <x:c r="N411" s="48"/>
      <x:c r="O411" s="72"/>
    </x:row>
    <x:row r="412">
      <x:c r="A412" s="50"/>
      <x:c r="B412" s="52"/>
      <x:c r="C412" s="46"/>
      <x:c r="D412" s="46"/>
      <x:c r="E412" s="46"/>
      <x:c r="F412" s="46"/>
      <x:c r="G412" s="72"/>
      <x:c r="H412" s="54"/>
      <x:c r="I412" s="46"/>
      <x:c r="J412" s="46"/>
      <x:c r="K412" s="56"/>
      <x:c r="L412" s="56"/>
      <x:c r="M412" s="56"/>
      <x:c r="N412" s="48"/>
      <x:c r="O412" s="72"/>
    </x:row>
    <x:row r="413">
      <x:c r="A413" s="50"/>
      <x:c r="B413" s="52"/>
      <x:c r="C413" s="46"/>
      <x:c r="D413" s="46"/>
      <x:c r="E413" s="46"/>
      <x:c r="F413" s="46"/>
      <x:c r="G413" s="72"/>
      <x:c r="H413" s="54"/>
      <x:c r="I413" s="46"/>
      <x:c r="J413" s="46"/>
      <x:c r="K413" s="56"/>
      <x:c r="L413" s="56"/>
      <x:c r="M413" s="56"/>
      <x:c r="N413" s="48"/>
      <x:c r="O413" s="72"/>
    </x:row>
    <x:row r="414">
      <x:c r="A414" s="50"/>
      <x:c r="B414" s="52"/>
      <x:c r="C414" s="46"/>
      <x:c r="D414" s="46"/>
      <x:c r="E414" s="46"/>
      <x:c r="F414" s="46"/>
      <x:c r="G414" s="72"/>
      <x:c r="H414" s="54"/>
      <x:c r="I414" s="46"/>
      <x:c r="J414" s="46"/>
      <x:c r="K414" s="56"/>
      <x:c r="L414" s="56"/>
      <x:c r="M414" s="56"/>
      <x:c r="N414" s="48"/>
      <x:c r="O414" s="72"/>
    </x:row>
    <x:row r="415">
      <x:c r="A415" s="50"/>
      <x:c r="B415" s="52"/>
      <x:c r="C415" s="46"/>
      <x:c r="D415" s="46"/>
      <x:c r="E415" s="46"/>
      <x:c r="F415" s="46"/>
      <x:c r="G415" s="72"/>
      <x:c r="H415" s="54"/>
      <x:c r="I415" s="46"/>
      <x:c r="J415" s="46"/>
      <x:c r="K415" s="56"/>
      <x:c r="L415" s="56"/>
      <x:c r="M415" s="56"/>
      <x:c r="N415" s="48"/>
      <x:c r="O415" s="72"/>
    </x:row>
    <x:row r="416">
      <x:c r="A416" s="50"/>
      <x:c r="B416" s="52"/>
      <x:c r="C416" s="46"/>
      <x:c r="D416" s="46"/>
      <x:c r="E416" s="46"/>
      <x:c r="F416" s="46"/>
      <x:c r="G416" s="72"/>
      <x:c r="H416" s="54"/>
      <x:c r="I416" s="46"/>
      <x:c r="J416" s="46"/>
      <x:c r="K416" s="56"/>
      <x:c r="L416" s="56"/>
      <x:c r="M416" s="56"/>
      <x:c r="N416" s="48"/>
      <x:c r="O416" s="72"/>
    </x:row>
    <x:row r="417">
      <x:c r="A417" s="50"/>
      <x:c r="B417" s="52"/>
      <x:c r="C417" s="46"/>
      <x:c r="D417" s="46"/>
      <x:c r="E417" s="46"/>
      <x:c r="F417" s="46"/>
      <x:c r="G417" s="72"/>
      <x:c r="H417" s="54"/>
      <x:c r="I417" s="46"/>
      <x:c r="J417" s="46"/>
      <x:c r="K417" s="56"/>
      <x:c r="L417" s="56"/>
      <x:c r="M417" s="56"/>
      <x:c r="N417" s="48"/>
      <x:c r="O417" s="72"/>
    </x:row>
    <x:row r="418">
      <x:c r="A418" s="50"/>
      <x:c r="B418" s="52"/>
      <x:c r="C418" s="46"/>
      <x:c r="D418" s="46"/>
      <x:c r="E418" s="46"/>
      <x:c r="F418" s="46"/>
      <x:c r="G418" s="72"/>
      <x:c r="H418" s="54"/>
      <x:c r="I418" s="46"/>
      <x:c r="J418" s="46"/>
      <x:c r="K418" s="56"/>
      <x:c r="L418" s="56"/>
      <x:c r="M418" s="56"/>
      <x:c r="N418" s="48"/>
      <x:c r="O418" s="72"/>
    </x:row>
    <x:row r="419">
      <x:c r="A419" s="50"/>
      <x:c r="B419" s="52"/>
      <x:c r="C419" s="46"/>
      <x:c r="D419" s="46"/>
      <x:c r="E419" s="46"/>
      <x:c r="F419" s="46"/>
      <x:c r="G419" s="72"/>
      <x:c r="H419" s="54"/>
      <x:c r="I419" s="46"/>
      <x:c r="J419" s="46"/>
      <x:c r="K419" s="56"/>
      <x:c r="L419" s="56"/>
      <x:c r="M419" s="56"/>
      <x:c r="N419" s="48"/>
      <x:c r="O419" s="72"/>
    </x:row>
    <x:row r="420">
      <x:c r="A420" s="50"/>
      <x:c r="B420" s="52"/>
      <x:c r="C420" s="46"/>
      <x:c r="D420" s="46"/>
      <x:c r="E420" s="46"/>
      <x:c r="F420" s="46"/>
      <x:c r="G420" s="72"/>
      <x:c r="H420" s="54"/>
      <x:c r="I420" s="46"/>
      <x:c r="J420" s="46"/>
      <x:c r="K420" s="56"/>
      <x:c r="L420" s="56"/>
      <x:c r="M420" s="56"/>
      <x:c r="N420" s="48"/>
      <x:c r="O420" s="72"/>
    </x:row>
    <x:row r="421">
      <x:c r="A421" s="50"/>
      <x:c r="B421" s="52"/>
      <x:c r="C421" s="46"/>
      <x:c r="D421" s="46"/>
      <x:c r="E421" s="46"/>
      <x:c r="F421" s="46"/>
      <x:c r="G421" s="72"/>
      <x:c r="H421" s="54"/>
      <x:c r="I421" s="46"/>
      <x:c r="J421" s="46"/>
      <x:c r="K421" s="56"/>
      <x:c r="L421" s="56"/>
      <x:c r="M421" s="56"/>
      <x:c r="N421" s="48"/>
      <x:c r="O421" s="72"/>
    </x:row>
    <x:row r="422">
      <x:c r="A422" s="50"/>
      <x:c r="B422" s="52"/>
      <x:c r="C422" s="46"/>
      <x:c r="D422" s="46"/>
      <x:c r="E422" s="46"/>
      <x:c r="F422" s="46"/>
      <x:c r="G422" s="72"/>
      <x:c r="H422" s="54"/>
      <x:c r="I422" s="46"/>
      <x:c r="J422" s="46"/>
      <x:c r="K422" s="56"/>
      <x:c r="L422" s="56"/>
      <x:c r="M422" s="56"/>
      <x:c r="N422" s="48"/>
      <x:c r="O422" s="72"/>
    </x:row>
    <x:row r="423">
      <x:c r="A423" s="50"/>
      <x:c r="B423" s="52"/>
      <x:c r="C423" s="46"/>
      <x:c r="D423" s="46"/>
      <x:c r="E423" s="46"/>
      <x:c r="F423" s="46"/>
      <x:c r="G423" s="72"/>
      <x:c r="H423" s="54"/>
      <x:c r="I423" s="46"/>
      <x:c r="J423" s="46"/>
      <x:c r="K423" s="56"/>
      <x:c r="L423" s="56"/>
      <x:c r="M423" s="56"/>
      <x:c r="N423" s="48"/>
      <x:c r="O423" s="72"/>
    </x:row>
    <x:row r="424">
      <x:c r="A424" s="50"/>
      <x:c r="B424" s="52"/>
      <x:c r="C424" s="46"/>
      <x:c r="D424" s="46"/>
      <x:c r="E424" s="46"/>
      <x:c r="F424" s="46"/>
      <x:c r="G424" s="72"/>
      <x:c r="H424" s="54"/>
      <x:c r="I424" s="46"/>
      <x:c r="J424" s="46"/>
      <x:c r="K424" s="56"/>
      <x:c r="L424" s="56"/>
      <x:c r="M424" s="56"/>
      <x:c r="N424" s="48"/>
      <x:c r="O424" s="72"/>
    </x:row>
    <x:row r="425">
      <x:c r="A425" s="50"/>
      <x:c r="B425" s="52"/>
      <x:c r="C425" s="46"/>
      <x:c r="D425" s="46"/>
      <x:c r="E425" s="46"/>
      <x:c r="F425" s="46"/>
      <x:c r="G425" s="72"/>
      <x:c r="H425" s="54"/>
      <x:c r="I425" s="46"/>
      <x:c r="J425" s="46"/>
      <x:c r="K425" s="56"/>
      <x:c r="L425" s="56"/>
      <x:c r="M425" s="56"/>
      <x:c r="N425" s="48"/>
      <x:c r="O425" s="72"/>
    </x:row>
    <x:row r="426">
      <x:c r="A426" s="50"/>
      <x:c r="B426" s="52"/>
      <x:c r="C426" s="46"/>
      <x:c r="D426" s="46"/>
      <x:c r="E426" s="46"/>
      <x:c r="F426" s="46"/>
      <x:c r="G426" s="72"/>
      <x:c r="H426" s="54"/>
      <x:c r="I426" s="46"/>
      <x:c r="J426" s="46"/>
      <x:c r="K426" s="56"/>
      <x:c r="L426" s="56"/>
      <x:c r="M426" s="56"/>
      <x:c r="N426" s="48"/>
      <x:c r="O426" s="72"/>
    </x:row>
    <x:row r="427">
      <x:c r="A427" s="50"/>
      <x:c r="B427" s="52"/>
      <x:c r="C427" s="46"/>
      <x:c r="D427" s="46"/>
      <x:c r="E427" s="46"/>
      <x:c r="F427" s="46"/>
      <x:c r="G427" s="72"/>
      <x:c r="H427" s="54"/>
      <x:c r="I427" s="46"/>
      <x:c r="J427" s="46"/>
      <x:c r="K427" s="56"/>
      <x:c r="L427" s="56"/>
      <x:c r="M427" s="56"/>
      <x:c r="N427" s="48"/>
      <x:c r="O427" s="72"/>
    </x:row>
    <x:row r="428">
      <x:c r="A428" s="50"/>
      <x:c r="B428" s="52"/>
      <x:c r="C428" s="46"/>
      <x:c r="D428" s="46"/>
      <x:c r="E428" s="46"/>
      <x:c r="F428" s="46"/>
      <x:c r="G428" s="72"/>
      <x:c r="H428" s="54"/>
      <x:c r="I428" s="46"/>
      <x:c r="J428" s="46"/>
      <x:c r="K428" s="56"/>
      <x:c r="L428" s="56"/>
      <x:c r="M428" s="56"/>
      <x:c r="N428" s="48"/>
      <x:c r="O428" s="72"/>
    </x:row>
    <x:row r="429">
      <x:c r="A429" s="50"/>
      <x:c r="B429" s="52"/>
      <x:c r="C429" s="46"/>
      <x:c r="D429" s="46"/>
      <x:c r="E429" s="46"/>
      <x:c r="F429" s="46"/>
      <x:c r="G429" s="72"/>
      <x:c r="H429" s="54"/>
      <x:c r="I429" s="46"/>
      <x:c r="J429" s="46"/>
      <x:c r="K429" s="56"/>
      <x:c r="L429" s="56"/>
      <x:c r="M429" s="56"/>
      <x:c r="N429" s="48"/>
      <x:c r="O429" s="72"/>
    </x:row>
    <x:row r="430">
      <x:c r="A430" s="50"/>
      <x:c r="B430" s="52"/>
      <x:c r="C430" s="46"/>
      <x:c r="D430" s="46"/>
      <x:c r="E430" s="46"/>
      <x:c r="F430" s="46"/>
      <x:c r="G430" s="72"/>
      <x:c r="H430" s="54"/>
      <x:c r="I430" s="46"/>
      <x:c r="J430" s="46"/>
      <x:c r="K430" s="56"/>
      <x:c r="L430" s="56"/>
      <x:c r="M430" s="56"/>
      <x:c r="N430" s="48"/>
      <x:c r="O430" s="72"/>
    </x:row>
    <x:row r="431">
      <x:c r="A431" s="50"/>
      <x:c r="B431" s="52"/>
      <x:c r="C431" s="46"/>
      <x:c r="D431" s="46"/>
      <x:c r="E431" s="46"/>
      <x:c r="F431" s="46"/>
      <x:c r="G431" s="72"/>
      <x:c r="H431" s="54"/>
      <x:c r="I431" s="46"/>
      <x:c r="J431" s="46"/>
      <x:c r="K431" s="56"/>
      <x:c r="L431" s="56"/>
      <x:c r="M431" s="56"/>
      <x:c r="N431" s="48"/>
      <x:c r="O431" s="72"/>
    </x:row>
    <x:row r="432">
      <x:c r="A432" s="50"/>
      <x:c r="B432" s="52"/>
      <x:c r="C432" s="46"/>
      <x:c r="D432" s="46"/>
      <x:c r="E432" s="46"/>
      <x:c r="F432" s="46"/>
      <x:c r="G432" s="72"/>
      <x:c r="H432" s="54"/>
      <x:c r="I432" s="46"/>
      <x:c r="J432" s="46"/>
      <x:c r="K432" s="56"/>
      <x:c r="L432" s="56"/>
      <x:c r="M432" s="56"/>
      <x:c r="N432" s="48"/>
      <x:c r="O432" s="72"/>
    </x:row>
    <x:row r="433">
      <x:c r="A433" s="50"/>
      <x:c r="B433" s="52"/>
      <x:c r="C433" s="46"/>
      <x:c r="D433" s="46"/>
      <x:c r="E433" s="46"/>
      <x:c r="F433" s="46"/>
      <x:c r="G433" s="72"/>
      <x:c r="H433" s="54"/>
      <x:c r="I433" s="46"/>
      <x:c r="J433" s="46"/>
      <x:c r="K433" s="56"/>
      <x:c r="L433" s="56"/>
      <x:c r="M433" s="56"/>
      <x:c r="N433" s="48"/>
      <x:c r="O433" s="72"/>
    </x:row>
    <x:row r="434">
      <x:c r="A434" s="50"/>
      <x:c r="B434" s="52"/>
      <x:c r="C434" s="46"/>
      <x:c r="D434" s="46"/>
      <x:c r="E434" s="46"/>
      <x:c r="F434" s="46"/>
      <x:c r="G434" s="72"/>
      <x:c r="H434" s="54"/>
      <x:c r="I434" s="46"/>
      <x:c r="J434" s="46"/>
      <x:c r="K434" s="56"/>
      <x:c r="L434" s="56"/>
      <x:c r="M434" s="56"/>
      <x:c r="N434" s="48"/>
      <x:c r="O434" s="72"/>
    </x:row>
    <x:row r="435">
      <x:c r="A435" s="50"/>
      <x:c r="B435" s="52"/>
      <x:c r="C435" s="46"/>
      <x:c r="D435" s="46"/>
      <x:c r="E435" s="46"/>
      <x:c r="F435" s="46"/>
      <x:c r="G435" s="72"/>
      <x:c r="H435" s="54"/>
      <x:c r="I435" s="46"/>
      <x:c r="J435" s="46"/>
      <x:c r="K435" s="56"/>
      <x:c r="L435" s="56"/>
      <x:c r="M435" s="56"/>
      <x:c r="N435" s="48"/>
      <x:c r="O435" s="72"/>
    </x:row>
    <x:row r="436">
      <x:c r="A436" s="50"/>
      <x:c r="B436" s="52"/>
      <x:c r="C436" s="46"/>
      <x:c r="D436" s="46"/>
      <x:c r="E436" s="46"/>
      <x:c r="F436" s="46"/>
      <x:c r="G436" s="72"/>
      <x:c r="H436" s="54"/>
      <x:c r="I436" s="46"/>
      <x:c r="J436" s="46"/>
      <x:c r="K436" s="56"/>
      <x:c r="L436" s="56"/>
      <x:c r="M436" s="56"/>
      <x:c r="N436" s="48"/>
      <x:c r="O436" s="72"/>
    </x:row>
    <x:row r="437">
      <x:c r="A437" s="50"/>
      <x:c r="B437" s="52"/>
      <x:c r="C437" s="46"/>
      <x:c r="D437" s="46"/>
      <x:c r="E437" s="46"/>
      <x:c r="F437" s="46"/>
      <x:c r="G437" s="72"/>
      <x:c r="H437" s="54"/>
      <x:c r="I437" s="46"/>
      <x:c r="J437" s="46"/>
      <x:c r="K437" s="56"/>
      <x:c r="L437" s="56"/>
      <x:c r="M437" s="56"/>
      <x:c r="N437" s="48"/>
      <x:c r="O437" s="72"/>
    </x:row>
    <x:row r="438">
      <x:c r="A438" s="50"/>
      <x:c r="B438" s="52"/>
      <x:c r="C438" s="46"/>
      <x:c r="D438" s="46"/>
      <x:c r="E438" s="46"/>
      <x:c r="F438" s="46"/>
      <x:c r="G438" s="72"/>
      <x:c r="H438" s="54"/>
      <x:c r="I438" s="46"/>
      <x:c r="J438" s="46"/>
      <x:c r="K438" s="56"/>
      <x:c r="L438" s="56"/>
      <x:c r="M438" s="56"/>
      <x:c r="N438" s="48"/>
      <x:c r="O438" s="72"/>
    </x:row>
    <x:row r="439">
      <x:c r="A439" s="50"/>
      <x:c r="B439" s="52"/>
      <x:c r="C439" s="46"/>
      <x:c r="D439" s="46"/>
      <x:c r="E439" s="46"/>
      <x:c r="F439" s="46"/>
      <x:c r="G439" s="72"/>
      <x:c r="H439" s="54"/>
      <x:c r="I439" s="46"/>
      <x:c r="J439" s="46"/>
      <x:c r="K439" s="56"/>
      <x:c r="L439" s="56"/>
      <x:c r="M439" s="56"/>
      <x:c r="N439" s="48"/>
      <x:c r="O439" s="72"/>
    </x:row>
    <x:row r="440">
      <x:c r="A440" s="50"/>
      <x:c r="B440" s="52"/>
      <x:c r="C440" s="46"/>
      <x:c r="D440" s="46"/>
      <x:c r="E440" s="46"/>
      <x:c r="F440" s="46"/>
      <x:c r="G440" s="72"/>
      <x:c r="H440" s="54"/>
      <x:c r="I440" s="46"/>
      <x:c r="J440" s="46"/>
      <x:c r="K440" s="56"/>
      <x:c r="L440" s="56"/>
      <x:c r="M440" s="56"/>
      <x:c r="N440" s="48"/>
      <x:c r="O440" s="72"/>
    </x:row>
    <x:row r="441">
      <x:c r="A441" s="50"/>
      <x:c r="B441" s="52"/>
      <x:c r="C441" s="46"/>
      <x:c r="D441" s="46"/>
      <x:c r="E441" s="46"/>
      <x:c r="F441" s="46"/>
      <x:c r="G441" s="72"/>
      <x:c r="H441" s="54"/>
      <x:c r="I441" s="46"/>
      <x:c r="J441" s="46"/>
      <x:c r="K441" s="56"/>
      <x:c r="L441" s="56"/>
      <x:c r="M441" s="56"/>
      <x:c r="N441" s="48"/>
      <x:c r="O441" s="72"/>
    </x:row>
    <x:row r="442">
      <x:c r="A442" s="50"/>
      <x:c r="B442" s="52"/>
      <x:c r="C442" s="46"/>
      <x:c r="D442" s="46"/>
      <x:c r="E442" s="46"/>
      <x:c r="F442" s="46"/>
      <x:c r="G442" s="72"/>
      <x:c r="H442" s="54"/>
      <x:c r="I442" s="46"/>
      <x:c r="J442" s="46"/>
      <x:c r="K442" s="56"/>
      <x:c r="L442" s="56"/>
      <x:c r="M442" s="56"/>
      <x:c r="N442" s="48"/>
      <x:c r="O442" s="72"/>
    </x:row>
    <x:row r="443">
      <x:c r="A443" s="50"/>
      <x:c r="B443" s="52"/>
      <x:c r="C443" s="46"/>
      <x:c r="D443" s="46"/>
      <x:c r="E443" s="46"/>
      <x:c r="F443" s="46"/>
      <x:c r="G443" s="72"/>
      <x:c r="H443" s="54"/>
      <x:c r="I443" s="46"/>
      <x:c r="J443" s="46"/>
      <x:c r="K443" s="56"/>
      <x:c r="L443" s="56"/>
      <x:c r="M443" s="56"/>
      <x:c r="N443" s="48"/>
      <x:c r="O443" s="72"/>
    </x:row>
    <x:row r="444">
      <x:c r="A444" s="50"/>
      <x:c r="B444" s="52"/>
      <x:c r="C444" s="46"/>
      <x:c r="D444" s="46"/>
      <x:c r="E444" s="46"/>
      <x:c r="F444" s="46"/>
      <x:c r="G444" s="72"/>
      <x:c r="H444" s="54"/>
      <x:c r="I444" s="46"/>
      <x:c r="J444" s="46"/>
      <x:c r="K444" s="56"/>
      <x:c r="L444" s="56"/>
      <x:c r="M444" s="56"/>
      <x:c r="N444" s="48"/>
      <x:c r="O444" s="72"/>
    </x:row>
    <x:row r="445">
      <x:c r="A445" s="50"/>
      <x:c r="B445" s="52"/>
      <x:c r="C445" s="46"/>
      <x:c r="D445" s="46"/>
      <x:c r="E445" s="46"/>
      <x:c r="F445" s="46"/>
      <x:c r="G445" s="72"/>
      <x:c r="H445" s="54"/>
      <x:c r="I445" s="46"/>
      <x:c r="J445" s="46"/>
      <x:c r="K445" s="56"/>
      <x:c r="L445" s="56"/>
      <x:c r="M445" s="56"/>
      <x:c r="N445" s="48"/>
      <x:c r="O445" s="72"/>
    </x:row>
    <x:row r="446">
      <x:c r="A446" s="50"/>
      <x:c r="B446" s="52"/>
      <x:c r="C446" s="46"/>
      <x:c r="D446" s="46"/>
      <x:c r="E446" s="46"/>
      <x:c r="F446" s="46"/>
      <x:c r="G446" s="72"/>
      <x:c r="H446" s="54"/>
      <x:c r="I446" s="46"/>
      <x:c r="J446" s="46"/>
      <x:c r="K446" s="56"/>
      <x:c r="L446" s="56"/>
      <x:c r="M446" s="56"/>
      <x:c r="N446" s="48"/>
      <x:c r="O446" s="72"/>
    </x:row>
    <x:row r="447">
      <x:c r="A447" s="50"/>
      <x:c r="B447" s="52"/>
      <x:c r="C447" s="46"/>
      <x:c r="D447" s="46"/>
      <x:c r="E447" s="46"/>
      <x:c r="F447" s="46"/>
      <x:c r="G447" s="72"/>
      <x:c r="H447" s="54"/>
      <x:c r="I447" s="46"/>
      <x:c r="J447" s="46"/>
      <x:c r="K447" s="56"/>
      <x:c r="L447" s="56"/>
      <x:c r="M447" s="56"/>
      <x:c r="N447" s="48"/>
      <x:c r="O447" s="72"/>
    </x:row>
    <x:row r="448">
      <x:c r="A448" s="50"/>
      <x:c r="B448" s="52"/>
      <x:c r="C448" s="46"/>
      <x:c r="D448" s="46"/>
      <x:c r="E448" s="46"/>
      <x:c r="F448" s="46"/>
      <x:c r="G448" s="72"/>
      <x:c r="H448" s="54"/>
      <x:c r="I448" s="46"/>
      <x:c r="J448" s="46"/>
      <x:c r="K448" s="56"/>
      <x:c r="L448" s="56"/>
      <x:c r="M448" s="56"/>
      <x:c r="N448" s="48"/>
      <x:c r="O448" s="72"/>
    </x:row>
    <x:row r="449">
      <x:c r="A449" s="50"/>
      <x:c r="B449" s="52"/>
      <x:c r="C449" s="46"/>
      <x:c r="D449" s="46"/>
      <x:c r="E449" s="46"/>
      <x:c r="F449" s="46"/>
      <x:c r="G449" s="72"/>
      <x:c r="H449" s="54"/>
      <x:c r="I449" s="46"/>
      <x:c r="J449" s="46"/>
      <x:c r="K449" s="56"/>
      <x:c r="L449" s="56"/>
      <x:c r="M449" s="56"/>
      <x:c r="N449" s="48"/>
      <x:c r="O449" s="72"/>
    </x:row>
    <x:row r="450">
      <x:c r="A450" s="50"/>
      <x:c r="B450" s="52"/>
      <x:c r="C450" s="46"/>
      <x:c r="D450" s="46"/>
      <x:c r="E450" s="46"/>
      <x:c r="F450" s="46"/>
      <x:c r="G450" s="72"/>
      <x:c r="H450" s="54"/>
      <x:c r="I450" s="46"/>
      <x:c r="J450" s="46"/>
      <x:c r="K450" s="56"/>
      <x:c r="L450" s="56"/>
      <x:c r="M450" s="56"/>
      <x:c r="N450" s="48"/>
      <x:c r="O450" s="72"/>
    </x:row>
    <x:row r="451">
      <x:c r="A451" s="50"/>
      <x:c r="B451" s="52"/>
      <x:c r="C451" s="46"/>
      <x:c r="D451" s="46"/>
      <x:c r="E451" s="46"/>
      <x:c r="F451" s="46"/>
      <x:c r="G451" s="72"/>
      <x:c r="H451" s="54"/>
      <x:c r="I451" s="46"/>
      <x:c r="J451" s="46"/>
      <x:c r="K451" s="56"/>
      <x:c r="L451" s="56"/>
      <x:c r="M451" s="56"/>
      <x:c r="N451" s="48"/>
      <x:c r="O451" s="72"/>
    </x:row>
    <x:row r="452">
      <x:c r="A452" s="50"/>
      <x:c r="B452" s="52"/>
      <x:c r="C452" s="46"/>
      <x:c r="D452" s="46"/>
      <x:c r="E452" s="46"/>
      <x:c r="F452" s="46"/>
      <x:c r="G452" s="72"/>
      <x:c r="H452" s="54"/>
      <x:c r="I452" s="46"/>
      <x:c r="J452" s="46"/>
      <x:c r="K452" s="56"/>
      <x:c r="L452" s="56"/>
      <x:c r="M452" s="56"/>
      <x:c r="N452" s="48"/>
      <x:c r="O452" s="72"/>
    </x:row>
    <x:row r="453">
      <x:c r="A453" s="50"/>
      <x:c r="B453" s="52"/>
      <x:c r="C453" s="46"/>
      <x:c r="D453" s="46"/>
      <x:c r="E453" s="46"/>
      <x:c r="F453" s="46"/>
      <x:c r="G453" s="72"/>
      <x:c r="H453" s="54"/>
      <x:c r="I453" s="46"/>
      <x:c r="J453" s="46"/>
      <x:c r="K453" s="56"/>
      <x:c r="L453" s="56"/>
      <x:c r="M453" s="56"/>
      <x:c r="N453" s="48"/>
      <x:c r="O453" s="72"/>
    </x:row>
    <x:row r="454">
      <x:c r="A454" s="50"/>
      <x:c r="B454" s="52"/>
      <x:c r="C454" s="46"/>
      <x:c r="D454" s="46"/>
      <x:c r="E454" s="46"/>
      <x:c r="F454" s="46"/>
      <x:c r="G454" s="72"/>
      <x:c r="H454" s="54"/>
      <x:c r="I454" s="46"/>
      <x:c r="J454" s="46"/>
      <x:c r="K454" s="56"/>
      <x:c r="L454" s="56"/>
      <x:c r="M454" s="56"/>
      <x:c r="N454" s="48"/>
      <x:c r="O454" s="72"/>
    </x:row>
    <x:row r="455">
      <x:c r="A455" s="50"/>
      <x:c r="B455" s="52"/>
      <x:c r="C455" s="46"/>
      <x:c r="D455" s="46"/>
      <x:c r="E455" s="46"/>
      <x:c r="F455" s="46"/>
      <x:c r="G455" s="72"/>
      <x:c r="H455" s="54"/>
      <x:c r="I455" s="46"/>
      <x:c r="J455" s="46"/>
      <x:c r="K455" s="56"/>
      <x:c r="L455" s="56"/>
      <x:c r="M455" s="56"/>
      <x:c r="N455" s="48"/>
      <x:c r="O455" s="72"/>
    </x:row>
    <x:row r="456">
      <x:c r="A456" s="50"/>
      <x:c r="B456" s="52"/>
      <x:c r="C456" s="46"/>
      <x:c r="D456" s="46"/>
      <x:c r="E456" s="46"/>
      <x:c r="F456" s="46"/>
      <x:c r="G456" s="72"/>
      <x:c r="H456" s="54"/>
      <x:c r="I456" s="46"/>
      <x:c r="J456" s="46"/>
      <x:c r="K456" s="56"/>
      <x:c r="L456" s="56"/>
      <x:c r="M456" s="56"/>
      <x:c r="N456" s="48"/>
      <x:c r="O456" s="72"/>
    </x:row>
    <x:row r="457">
      <x:c r="A457" s="50"/>
      <x:c r="B457" s="52"/>
      <x:c r="C457" s="46"/>
      <x:c r="D457" s="46"/>
      <x:c r="E457" s="46"/>
      <x:c r="F457" s="46"/>
      <x:c r="G457" s="72"/>
      <x:c r="H457" s="54"/>
      <x:c r="I457" s="46"/>
      <x:c r="J457" s="46"/>
      <x:c r="K457" s="56"/>
      <x:c r="L457" s="56"/>
      <x:c r="M457" s="56"/>
      <x:c r="N457" s="48"/>
      <x:c r="O457" s="72"/>
    </x:row>
    <x:row r="458">
      <x:c r="A458" s="50"/>
      <x:c r="B458" s="52"/>
      <x:c r="C458" s="46"/>
      <x:c r="D458" s="46"/>
      <x:c r="E458" s="46"/>
      <x:c r="F458" s="46"/>
      <x:c r="G458" s="72"/>
      <x:c r="H458" s="54"/>
      <x:c r="I458" s="46"/>
      <x:c r="J458" s="46"/>
      <x:c r="K458" s="56"/>
      <x:c r="L458" s="56"/>
      <x:c r="M458" s="56"/>
      <x:c r="N458" s="48"/>
      <x:c r="O458" s="72"/>
    </x:row>
    <x:row r="459">
      <x:c r="A459" s="50"/>
      <x:c r="B459" s="52"/>
      <x:c r="C459" s="46"/>
      <x:c r="D459" s="46"/>
      <x:c r="E459" s="46"/>
      <x:c r="F459" s="46"/>
      <x:c r="G459" s="72"/>
      <x:c r="H459" s="54"/>
      <x:c r="I459" s="46"/>
      <x:c r="J459" s="46"/>
      <x:c r="K459" s="56"/>
      <x:c r="L459" s="56"/>
      <x:c r="M459" s="56"/>
      <x:c r="N459" s="48"/>
      <x:c r="O459" s="72"/>
    </x:row>
    <x:row r="460">
      <x:c r="A460" s="50"/>
      <x:c r="B460" s="52"/>
      <x:c r="C460" s="46"/>
      <x:c r="D460" s="46"/>
      <x:c r="E460" s="46"/>
      <x:c r="F460" s="46"/>
      <x:c r="G460" s="72"/>
      <x:c r="H460" s="54"/>
      <x:c r="I460" s="46"/>
      <x:c r="J460" s="46"/>
      <x:c r="K460" s="56"/>
      <x:c r="L460" s="56"/>
      <x:c r="M460" s="56"/>
      <x:c r="N460" s="48"/>
      <x:c r="O460" s="72"/>
    </x:row>
    <x:row r="461">
      <x:c r="A461" s="50"/>
      <x:c r="B461" s="52"/>
      <x:c r="C461" s="46"/>
      <x:c r="D461" s="46"/>
      <x:c r="E461" s="46"/>
      <x:c r="F461" s="46"/>
      <x:c r="G461" s="72"/>
      <x:c r="H461" s="54"/>
      <x:c r="I461" s="46"/>
      <x:c r="J461" s="46"/>
      <x:c r="K461" s="56"/>
      <x:c r="L461" s="56"/>
      <x:c r="M461" s="56"/>
      <x:c r="N461" s="48"/>
      <x:c r="O461" s="72"/>
    </x:row>
    <x:row r="462">
      <x:c r="A462" s="50"/>
      <x:c r="B462" s="52"/>
      <x:c r="C462" s="46"/>
      <x:c r="D462" s="46"/>
      <x:c r="E462" s="46"/>
      <x:c r="F462" s="46"/>
      <x:c r="G462" s="72"/>
      <x:c r="H462" s="54"/>
      <x:c r="I462" s="46"/>
      <x:c r="J462" s="46"/>
      <x:c r="K462" s="56"/>
      <x:c r="L462" s="56"/>
      <x:c r="M462" s="56"/>
      <x:c r="N462" s="48"/>
      <x:c r="O462" s="72"/>
    </x:row>
    <x:row r="463">
      <x:c r="A463" s="50"/>
      <x:c r="B463" s="52"/>
      <x:c r="C463" s="46"/>
      <x:c r="D463" s="46"/>
      <x:c r="E463" s="46"/>
      <x:c r="F463" s="46"/>
      <x:c r="G463" s="72"/>
      <x:c r="H463" s="54"/>
      <x:c r="I463" s="46"/>
      <x:c r="J463" s="46"/>
      <x:c r="K463" s="56"/>
      <x:c r="L463" s="56"/>
      <x:c r="M463" s="56"/>
      <x:c r="N463" s="48"/>
      <x:c r="O463" s="72"/>
    </x:row>
    <x:row r="464">
      <x:c r="A464" s="50"/>
      <x:c r="B464" s="52"/>
      <x:c r="C464" s="46"/>
      <x:c r="D464" s="46"/>
      <x:c r="E464" s="46"/>
      <x:c r="F464" s="46"/>
      <x:c r="G464" s="72"/>
      <x:c r="H464" s="54"/>
      <x:c r="I464" s="46"/>
      <x:c r="J464" s="46"/>
      <x:c r="K464" s="56"/>
      <x:c r="L464" s="56"/>
      <x:c r="M464" s="56"/>
      <x:c r="N464" s="48"/>
      <x:c r="O464" s="72"/>
    </x:row>
    <x:row r="465">
      <x:c r="A465" s="50"/>
      <x:c r="B465" s="52"/>
      <x:c r="C465" s="46"/>
      <x:c r="D465" s="46"/>
      <x:c r="E465" s="46"/>
      <x:c r="F465" s="46"/>
      <x:c r="G465" s="72"/>
      <x:c r="H465" s="54"/>
      <x:c r="I465" s="46"/>
      <x:c r="J465" s="46"/>
      <x:c r="K465" s="56"/>
      <x:c r="L465" s="56"/>
      <x:c r="M465" s="56"/>
      <x:c r="N465" s="48"/>
      <x:c r="O465" s="72"/>
    </x:row>
    <x:row r="466">
      <x:c r="A466" s="50"/>
      <x:c r="B466" s="52"/>
      <x:c r="C466" s="46"/>
      <x:c r="D466" s="46"/>
      <x:c r="E466" s="46"/>
      <x:c r="F466" s="46"/>
      <x:c r="G466" s="72"/>
      <x:c r="H466" s="54"/>
      <x:c r="I466" s="46"/>
      <x:c r="J466" s="46"/>
      <x:c r="K466" s="56"/>
      <x:c r="L466" s="56"/>
      <x:c r="M466" s="56"/>
      <x:c r="N466" s="48"/>
      <x:c r="O466" s="72"/>
    </x:row>
    <x:row r="467">
      <x:c r="A467" s="50"/>
      <x:c r="B467" s="52"/>
      <x:c r="C467" s="46"/>
      <x:c r="D467" s="46"/>
      <x:c r="E467" s="46"/>
      <x:c r="F467" s="46"/>
      <x:c r="G467" s="72"/>
      <x:c r="H467" s="54"/>
      <x:c r="I467" s="46"/>
      <x:c r="J467" s="46"/>
      <x:c r="K467" s="56"/>
      <x:c r="L467" s="56"/>
      <x:c r="M467" s="56"/>
      <x:c r="N467" s="48"/>
      <x:c r="O467" s="72"/>
    </x:row>
    <x:row r="468">
      <x:c r="A468" s="50"/>
      <x:c r="B468" s="52"/>
      <x:c r="C468" s="46"/>
      <x:c r="D468" s="46"/>
      <x:c r="E468" s="46"/>
      <x:c r="F468" s="46"/>
      <x:c r="G468" s="72"/>
      <x:c r="H468" s="54"/>
      <x:c r="I468" s="46"/>
      <x:c r="J468" s="46"/>
      <x:c r="K468" s="56"/>
      <x:c r="L468" s="56"/>
      <x:c r="M468" s="56"/>
      <x:c r="N468" s="48"/>
      <x:c r="O468" s="72"/>
    </x:row>
    <x:row r="469">
      <x:c r="A469" s="50"/>
      <x:c r="B469" s="52"/>
      <x:c r="C469" s="46"/>
      <x:c r="D469" s="46"/>
      <x:c r="E469" s="46"/>
      <x:c r="F469" s="46"/>
      <x:c r="G469" s="72"/>
      <x:c r="H469" s="54"/>
      <x:c r="I469" s="46"/>
      <x:c r="J469" s="46"/>
      <x:c r="K469" s="56"/>
      <x:c r="L469" s="56"/>
      <x:c r="M469" s="56"/>
      <x:c r="N469" s="48"/>
      <x:c r="O469" s="72"/>
    </x:row>
    <x:row r="470">
      <x:c r="A470" s="50"/>
      <x:c r="B470" s="52"/>
      <x:c r="C470" s="46"/>
      <x:c r="D470" s="46"/>
      <x:c r="E470" s="46"/>
      <x:c r="F470" s="46"/>
      <x:c r="G470" s="72"/>
      <x:c r="H470" s="54"/>
      <x:c r="I470" s="46"/>
      <x:c r="J470" s="46"/>
      <x:c r="K470" s="56"/>
      <x:c r="L470" s="56"/>
      <x:c r="M470" s="56"/>
      <x:c r="N470" s="48"/>
      <x:c r="O470" s="72"/>
    </x:row>
    <x:row r="471">
      <x:c r="A471" s="50"/>
      <x:c r="B471" s="52"/>
      <x:c r="C471" s="46"/>
      <x:c r="D471" s="46"/>
      <x:c r="E471" s="46"/>
      <x:c r="F471" s="46"/>
      <x:c r="G471" s="72"/>
      <x:c r="H471" s="54"/>
      <x:c r="I471" s="46"/>
      <x:c r="J471" s="46"/>
      <x:c r="K471" s="56"/>
      <x:c r="L471" s="56"/>
      <x:c r="M471" s="56"/>
      <x:c r="N471" s="48"/>
      <x:c r="O471" s="72"/>
    </x:row>
    <x:row r="472">
      <x:c r="A472" s="50"/>
      <x:c r="B472" s="52"/>
      <x:c r="C472" s="46"/>
      <x:c r="D472" s="46"/>
      <x:c r="E472" s="46"/>
      <x:c r="F472" s="46"/>
      <x:c r="G472" s="72"/>
      <x:c r="H472" s="54"/>
      <x:c r="I472" s="46"/>
      <x:c r="J472" s="46"/>
      <x:c r="K472" s="56"/>
      <x:c r="L472" s="56"/>
      <x:c r="M472" s="56"/>
      <x:c r="N472" s="48"/>
      <x:c r="O472" s="72"/>
    </x:row>
    <x:row r="473">
      <x:c r="A473" s="50"/>
      <x:c r="B473" s="52"/>
      <x:c r="C473" s="46"/>
      <x:c r="D473" s="46"/>
      <x:c r="E473" s="46"/>
      <x:c r="F473" s="46"/>
      <x:c r="G473" s="72"/>
      <x:c r="H473" s="54"/>
      <x:c r="I473" s="46"/>
      <x:c r="J473" s="46"/>
      <x:c r="K473" s="56"/>
      <x:c r="L473" s="56"/>
      <x:c r="M473" s="56"/>
      <x:c r="N473" s="48"/>
      <x:c r="O473" s="72"/>
    </x:row>
    <x:row r="474">
      <x:c r="A474" s="50"/>
      <x:c r="B474" s="52"/>
      <x:c r="C474" s="46"/>
      <x:c r="D474" s="46"/>
      <x:c r="E474" s="46"/>
      <x:c r="F474" s="46"/>
      <x:c r="G474" s="72"/>
      <x:c r="H474" s="54"/>
      <x:c r="I474" s="46"/>
      <x:c r="J474" s="46"/>
      <x:c r="K474" s="56"/>
      <x:c r="L474" s="56"/>
      <x:c r="M474" s="56"/>
      <x:c r="N474" s="48"/>
      <x:c r="O474" s="72"/>
    </x:row>
    <x:row r="475">
      <x:c r="A475" s="50"/>
      <x:c r="B475" s="52"/>
      <x:c r="C475" s="46"/>
      <x:c r="D475" s="46"/>
      <x:c r="E475" s="46"/>
      <x:c r="F475" s="46"/>
      <x:c r="G475" s="72"/>
      <x:c r="H475" s="54"/>
      <x:c r="I475" s="46"/>
      <x:c r="J475" s="46"/>
      <x:c r="K475" s="56"/>
      <x:c r="L475" s="56"/>
      <x:c r="M475" s="56"/>
      <x:c r="N475" s="48"/>
      <x:c r="O475" s="72"/>
    </x:row>
    <x:row r="476">
      <x:c r="A476" s="50"/>
      <x:c r="B476" s="52"/>
      <x:c r="C476" s="46"/>
      <x:c r="D476" s="46"/>
      <x:c r="E476" s="46"/>
      <x:c r="F476" s="46"/>
      <x:c r="G476" s="72"/>
      <x:c r="H476" s="54"/>
      <x:c r="I476" s="46"/>
      <x:c r="J476" s="46"/>
      <x:c r="K476" s="56"/>
      <x:c r="L476" s="56"/>
      <x:c r="M476" s="56"/>
      <x:c r="N476" s="48"/>
      <x:c r="O476" s="72"/>
    </x:row>
    <x:row r="477">
      <x:c r="A477" s="50"/>
      <x:c r="B477" s="52"/>
      <x:c r="C477" s="46"/>
      <x:c r="D477" s="46"/>
      <x:c r="E477" s="46"/>
      <x:c r="F477" s="46"/>
      <x:c r="G477" s="72"/>
      <x:c r="H477" s="54"/>
      <x:c r="I477" s="46"/>
      <x:c r="J477" s="46"/>
      <x:c r="K477" s="56"/>
      <x:c r="L477" s="56"/>
      <x:c r="M477" s="56"/>
      <x:c r="N477" s="48"/>
      <x:c r="O477" s="72"/>
    </x:row>
    <x:row r="478">
      <x:c r="A478" s="50"/>
      <x:c r="B478" s="52"/>
      <x:c r="C478" s="46"/>
      <x:c r="D478" s="46"/>
      <x:c r="E478" s="46"/>
      <x:c r="F478" s="46"/>
      <x:c r="G478" s="72"/>
      <x:c r="H478" s="54"/>
      <x:c r="I478" s="46"/>
      <x:c r="J478" s="46"/>
      <x:c r="K478" s="56"/>
      <x:c r="L478" s="56"/>
      <x:c r="M478" s="56"/>
      <x:c r="N478" s="48"/>
      <x:c r="O478" s="72"/>
    </x:row>
    <x:row r="479">
      <x:c r="A479" s="50"/>
      <x:c r="B479" s="52"/>
      <x:c r="C479" s="46"/>
      <x:c r="D479" s="46"/>
      <x:c r="E479" s="46"/>
      <x:c r="F479" s="46"/>
      <x:c r="G479" s="72"/>
      <x:c r="H479" s="54"/>
      <x:c r="I479" s="46"/>
      <x:c r="J479" s="46"/>
      <x:c r="K479" s="56"/>
      <x:c r="L479" s="56"/>
      <x:c r="M479" s="56"/>
      <x:c r="N479" s="48"/>
      <x:c r="O479" s="72"/>
    </x:row>
    <x:row r="480">
      <x:c r="A480" s="50"/>
      <x:c r="B480" s="52"/>
      <x:c r="C480" s="46"/>
      <x:c r="D480" s="46"/>
      <x:c r="E480" s="46"/>
      <x:c r="F480" s="46"/>
      <x:c r="G480" s="72"/>
      <x:c r="H480" s="54"/>
      <x:c r="I480" s="46"/>
      <x:c r="J480" s="46"/>
      <x:c r="K480" s="56"/>
      <x:c r="L480" s="56"/>
      <x:c r="M480" s="56"/>
      <x:c r="N480" s="48"/>
      <x:c r="O480" s="72"/>
    </x:row>
    <x:row r="481">
      <x:c r="A481" s="50"/>
      <x:c r="B481" s="52"/>
      <x:c r="C481" s="46"/>
      <x:c r="D481" s="46"/>
      <x:c r="E481" s="46"/>
      <x:c r="F481" s="46"/>
      <x:c r="G481" s="72"/>
      <x:c r="H481" s="54"/>
      <x:c r="I481" s="46"/>
      <x:c r="J481" s="46"/>
      <x:c r="K481" s="56"/>
      <x:c r="L481" s="56"/>
      <x:c r="M481" s="56"/>
      <x:c r="N481" s="48"/>
      <x:c r="O481" s="72"/>
    </x:row>
    <x:row r="482">
      <x:c r="A482" s="50"/>
      <x:c r="B482" s="52"/>
      <x:c r="C482" s="46"/>
      <x:c r="D482" s="46"/>
      <x:c r="E482" s="46"/>
      <x:c r="F482" s="46"/>
      <x:c r="G482" s="72"/>
      <x:c r="H482" s="54"/>
      <x:c r="I482" s="46"/>
      <x:c r="J482" s="46"/>
      <x:c r="K482" s="56"/>
      <x:c r="L482" s="56"/>
      <x:c r="M482" s="56"/>
      <x:c r="N482" s="48"/>
      <x:c r="O482" s="72"/>
    </x:row>
    <x:row r="483">
      <x:c r="A483" s="50"/>
      <x:c r="B483" s="52"/>
      <x:c r="C483" s="46"/>
      <x:c r="D483" s="46"/>
      <x:c r="E483" s="46"/>
      <x:c r="F483" s="46"/>
      <x:c r="G483" s="72"/>
      <x:c r="H483" s="54"/>
      <x:c r="I483" s="46"/>
      <x:c r="J483" s="46"/>
      <x:c r="K483" s="56"/>
      <x:c r="L483" s="56"/>
      <x:c r="M483" s="56"/>
      <x:c r="N483" s="48"/>
      <x:c r="O483" s="72"/>
    </x:row>
    <x:row r="484">
      <x:c r="A484" s="50"/>
      <x:c r="B484" s="52"/>
      <x:c r="C484" s="46"/>
      <x:c r="D484" s="46"/>
      <x:c r="E484" s="46"/>
      <x:c r="F484" s="46"/>
      <x:c r="G484" s="72"/>
      <x:c r="H484" s="54"/>
      <x:c r="I484" s="46"/>
      <x:c r="J484" s="46"/>
      <x:c r="K484" s="56"/>
      <x:c r="L484" s="56"/>
      <x:c r="M484" s="56"/>
      <x:c r="N484" s="48"/>
      <x:c r="O484" s="72"/>
    </x:row>
    <x:row r="485">
      <x:c r="A485" s="50"/>
      <x:c r="B485" s="52"/>
      <x:c r="C485" s="46"/>
      <x:c r="D485" s="46"/>
      <x:c r="E485" s="46"/>
      <x:c r="F485" s="46"/>
      <x:c r="G485" s="72"/>
      <x:c r="H485" s="54"/>
      <x:c r="I485" s="46"/>
      <x:c r="J485" s="46"/>
      <x:c r="K485" s="56"/>
      <x:c r="L485" s="56"/>
      <x:c r="M485" s="56"/>
      <x:c r="N485" s="48"/>
      <x:c r="O485" s="72"/>
    </x:row>
    <x:row r="486">
      <x:c r="A486" s="50"/>
      <x:c r="B486" s="52"/>
      <x:c r="C486" s="46"/>
      <x:c r="D486" s="46"/>
      <x:c r="E486" s="46"/>
      <x:c r="F486" s="46"/>
      <x:c r="G486" s="72"/>
      <x:c r="H486" s="54"/>
      <x:c r="I486" s="46"/>
      <x:c r="J486" s="46"/>
      <x:c r="K486" s="56"/>
      <x:c r="L486" s="56"/>
      <x:c r="M486" s="56"/>
      <x:c r="N486" s="48"/>
      <x:c r="O486" s="72"/>
    </x:row>
    <x:row r="487">
      <x:c r="A487" s="50"/>
      <x:c r="B487" s="52"/>
      <x:c r="C487" s="46"/>
      <x:c r="D487" s="46"/>
      <x:c r="E487" s="46"/>
      <x:c r="F487" s="46"/>
      <x:c r="G487" s="72"/>
      <x:c r="H487" s="54"/>
      <x:c r="I487" s="46"/>
      <x:c r="J487" s="46"/>
      <x:c r="K487" s="56"/>
      <x:c r="L487" s="56"/>
      <x:c r="M487" s="56"/>
      <x:c r="N487" s="48"/>
      <x:c r="O487" s="72"/>
    </x:row>
    <x:row r="488">
      <x:c r="A488" s="50"/>
      <x:c r="B488" s="52"/>
      <x:c r="C488" s="46"/>
      <x:c r="D488" s="46"/>
      <x:c r="E488" s="46"/>
      <x:c r="F488" s="46"/>
      <x:c r="G488" s="72"/>
      <x:c r="H488" s="54"/>
      <x:c r="I488" s="46"/>
      <x:c r="J488" s="46"/>
      <x:c r="K488" s="56"/>
      <x:c r="L488" s="56"/>
      <x:c r="M488" s="56"/>
      <x:c r="N488" s="48"/>
      <x:c r="O488" s="72"/>
    </x:row>
    <x:row r="489">
      <x:c r="A489" s="50"/>
      <x:c r="B489" s="52"/>
      <x:c r="C489" s="46"/>
      <x:c r="D489" s="46"/>
      <x:c r="E489" s="46"/>
      <x:c r="F489" s="46"/>
      <x:c r="G489" s="72"/>
      <x:c r="H489" s="54"/>
      <x:c r="I489" s="46"/>
      <x:c r="J489" s="46"/>
      <x:c r="K489" s="56"/>
      <x:c r="L489" s="56"/>
      <x:c r="M489" s="56"/>
      <x:c r="N489" s="48"/>
      <x:c r="O489" s="72"/>
    </x:row>
    <x:row r="490">
      <x:c r="A490" s="50"/>
      <x:c r="B490" s="52"/>
      <x:c r="C490" s="46"/>
      <x:c r="D490" s="46"/>
      <x:c r="E490" s="46"/>
      <x:c r="F490" s="46"/>
      <x:c r="G490" s="72"/>
      <x:c r="H490" s="54"/>
      <x:c r="I490" s="46"/>
      <x:c r="J490" s="46"/>
      <x:c r="K490" s="56"/>
      <x:c r="L490" s="56"/>
      <x:c r="M490" s="56"/>
      <x:c r="N490" s="48"/>
      <x:c r="O490" s="72"/>
    </x:row>
    <x:row r="491">
      <x:c r="A491" s="50"/>
      <x:c r="B491" s="52"/>
      <x:c r="C491" s="46"/>
      <x:c r="D491" s="46"/>
      <x:c r="E491" s="46"/>
      <x:c r="F491" s="46"/>
      <x:c r="G491" s="72"/>
      <x:c r="H491" s="54"/>
      <x:c r="I491" s="46"/>
      <x:c r="J491" s="46"/>
      <x:c r="K491" s="56"/>
      <x:c r="L491" s="56"/>
      <x:c r="M491" s="56"/>
      <x:c r="N491" s="48"/>
      <x:c r="O491" s="72"/>
    </x:row>
    <x:row r="492">
      <x:c r="A492" s="50"/>
      <x:c r="B492" s="52"/>
      <x:c r="C492" s="46"/>
      <x:c r="D492" s="46"/>
      <x:c r="E492" s="46"/>
      <x:c r="F492" s="46"/>
      <x:c r="G492" s="72"/>
      <x:c r="H492" s="54"/>
      <x:c r="I492" s="46"/>
      <x:c r="J492" s="46"/>
      <x:c r="K492" s="56"/>
      <x:c r="L492" s="56"/>
      <x:c r="M492" s="56"/>
      <x:c r="N492" s="48"/>
      <x:c r="O492" s="72"/>
    </x:row>
    <x:row r="493">
      <x:c r="A493" s="50"/>
      <x:c r="B493" s="52"/>
      <x:c r="C493" s="46"/>
      <x:c r="D493" s="46"/>
      <x:c r="E493" s="46"/>
      <x:c r="F493" s="46"/>
      <x:c r="G493" s="72"/>
      <x:c r="H493" s="54"/>
      <x:c r="I493" s="46"/>
      <x:c r="J493" s="46"/>
      <x:c r="K493" s="56"/>
      <x:c r="L493" s="56"/>
      <x:c r="M493" s="56"/>
      <x:c r="N493" s="48"/>
      <x:c r="O493" s="72"/>
    </x:row>
    <x:row r="494">
      <x:c r="A494" s="50"/>
      <x:c r="B494" s="52"/>
      <x:c r="C494" s="46"/>
      <x:c r="D494" s="46"/>
      <x:c r="E494" s="46"/>
      <x:c r="F494" s="46"/>
      <x:c r="G494" s="72"/>
      <x:c r="H494" s="54"/>
      <x:c r="I494" s="46"/>
      <x:c r="J494" s="46"/>
      <x:c r="K494" s="56"/>
      <x:c r="L494" s="56"/>
      <x:c r="M494" s="56"/>
      <x:c r="N494" s="48"/>
      <x:c r="O494" s="72"/>
    </x:row>
    <x:row r="495">
      <x:c r="A495" s="50"/>
      <x:c r="B495" s="52"/>
      <x:c r="C495" s="46"/>
      <x:c r="D495" s="46"/>
      <x:c r="E495" s="46"/>
      <x:c r="F495" s="46"/>
      <x:c r="G495" s="72"/>
      <x:c r="H495" s="54"/>
      <x:c r="I495" s="46"/>
      <x:c r="J495" s="46"/>
      <x:c r="K495" s="56"/>
      <x:c r="L495" s="56"/>
      <x:c r="M495" s="56"/>
      <x:c r="N495" s="48"/>
      <x:c r="O495" s="72"/>
    </x:row>
    <x:row r="496">
      <x:c r="A496" s="50"/>
      <x:c r="B496" s="52"/>
      <x:c r="C496" s="46"/>
      <x:c r="D496" s="46"/>
      <x:c r="E496" s="46"/>
      <x:c r="F496" s="46"/>
      <x:c r="G496" s="72"/>
      <x:c r="H496" s="54"/>
      <x:c r="I496" s="46"/>
      <x:c r="J496" s="46"/>
      <x:c r="K496" s="56"/>
      <x:c r="L496" s="56"/>
      <x:c r="M496" s="56"/>
      <x:c r="N496" s="48"/>
      <x:c r="O496" s="72"/>
    </x:row>
    <x:row r="497">
      <x:c r="A497" s="50"/>
      <x:c r="B497" s="52"/>
      <x:c r="C497" s="46"/>
      <x:c r="D497" s="46"/>
      <x:c r="E497" s="46"/>
      <x:c r="F497" s="46"/>
      <x:c r="G497" s="72"/>
      <x:c r="H497" s="54"/>
      <x:c r="I497" s="46"/>
      <x:c r="J497" s="46"/>
      <x:c r="K497" s="56"/>
      <x:c r="L497" s="56"/>
      <x:c r="M497" s="56"/>
      <x:c r="N497" s="48"/>
      <x:c r="O497" s="72"/>
    </x:row>
    <x:row r="498">
      <x:c r="A498" s="50"/>
      <x:c r="B498" s="52"/>
      <x:c r="C498" s="46"/>
      <x:c r="D498" s="46"/>
      <x:c r="E498" s="46"/>
      <x:c r="F498" s="46"/>
      <x:c r="G498" s="72"/>
      <x:c r="H498" s="54"/>
      <x:c r="I498" s="46"/>
      <x:c r="J498" s="46"/>
      <x:c r="K498" s="56"/>
      <x:c r="L498" s="56"/>
      <x:c r="M498" s="56"/>
      <x:c r="N498" s="48"/>
      <x:c r="O498" s="72"/>
    </x:row>
    <x:row r="499">
      <x:c r="A499" s="50"/>
      <x:c r="B499" s="52"/>
      <x:c r="C499" s="46"/>
      <x:c r="D499" s="46"/>
      <x:c r="E499" s="46"/>
      <x:c r="F499" s="46"/>
      <x:c r="G499" s="72"/>
      <x:c r="H499" s="54"/>
      <x:c r="I499" s="46"/>
      <x:c r="J499" s="46"/>
      <x:c r="K499" s="56"/>
      <x:c r="L499" s="56"/>
      <x:c r="M499" s="56"/>
      <x:c r="N499" s="48"/>
      <x:c r="O499" s="72"/>
    </x:row>
    <x:row r="500">
      <x:c r="A500" s="50"/>
      <x:c r="B500" s="52"/>
      <x:c r="C500" s="46"/>
      <x:c r="D500" s="46"/>
      <x:c r="E500" s="46"/>
      <x:c r="F500" s="46"/>
      <x:c r="G500" s="72"/>
      <x:c r="H500" s="54"/>
      <x:c r="I500" s="46"/>
      <x:c r="J500" s="46"/>
      <x:c r="K500" s="56"/>
      <x:c r="L500" s="56"/>
      <x:c r="M500" s="56"/>
      <x:c r="N500" s="48"/>
      <x:c r="O500" s="72"/>
    </x:row>
  </x:sheetData>
  <x:mergeCells>
    <x:mergeCell ref="A1:O1"/>
  </x:mergeCells>
  <x:conditionalFormatting sqref="N3:N500">
    <x:cfRule type="expression" dxfId="0" priority="1">
      <x:formula>N3="Yes"</x:formula>
    </x:cfRule>
  </x:conditionalFormatting>
  <x:conditionalFormatting sqref="M3:M500">
    <x:cfRule type="dataBar" priority="2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{4051823A-7EF7-FD78-11B8-2363ED9A0C3B}</x14:id>
        </x:ext>
      </x:extLst>
    </x:cfRule>
  </x:conditionalFormatting>
  <x:dataValidations count="4">
    <x:dataValidation type="list" sqref="D3:D500">
      <x:formula1>Categories!$A$4:$A$5</x:formula1>
    </x:dataValidation>
    <x:dataValidation type="list" sqref="E3:E500">
      <x:formula1>Categories!$B$4:$B$19</x:formula1>
    </x:dataValidation>
    <x:dataValidation type="list" sqref="F3:F500">
      <x:formula1>Categories!$C$4:$C$10</x:formula1>
    </x:dataValidation>
    <x:dataValidation type="list" sqref="I3:I500">
      <x:formula1>Categories!$D$4:$D$6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b9545b06846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051823A-7EF7-FD78-11B8-2363ED9A0C3B}">
            <x14:dataBar gradient="1">
              <x14:cfvo type="min"/>
              <x14:cfvo type="max"/>
              <x14:fillColor rgb="FF2F75B5"/>
            </x14:dataBar>
          </x14:cfRule>
          <xm:sqref>M3:M500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4" hidden="0" customWidth="1"/>
    <x:col min="5" max="5" width="17" hidden="0" customWidth="1"/>
    <x:col min="6" max="6" width="16" hidden="0" customWidth="1"/>
    <x:col min="7" max="7" width="15" hidden="0" customWidth="1"/>
    <x:col min="8" max="8" width="14" hidden="0" customWidth="1"/>
    <x:col min="9" max="9" width="16" hidden="0" customWidth="1"/>
    <x:col min="10" max="10" width="21" hidden="0" customWidth="1"/>
    <x:col min="11" max="11" width="28" hidden="0" customWidth="1"/>
  </x:cols>
  <x:sheetData>
    <x:row r="1" ht="32" customHeight="1">
      <x:c r="A1" s="5" t="str">
        <x:v>Accounts Receivable Tracker</x:v>
      </x:c>
    </x:row>
    <x:row r="2">
      <x:c r="A2" s="20" t="str">
        <x:v>Invoice #</x:v>
      </x:c>
      <x:c r="B2" s="21" t="str">
        <x:v>Customer</x:v>
      </x:c>
      <x:c r="C2" s="21" t="str">
        <x:v>Invoice Date</x:v>
      </x:c>
      <x:c r="D2" s="21" t="str">
        <x:v>Due Date</x:v>
      </x:c>
      <x:c r="E2" s="21" t="str">
        <x:v>Original Amount ($)</x:v>
      </x:c>
      <x:c r="F2" s="21" t="str">
        <x:v>Amount Paid ($)</x:v>
      </x:c>
      <x:c r="G2" s="21" t="str">
        <x:v>Balance Due ($)</x:v>
      </x:c>
      <x:c r="H2" s="21" t="str">
        <x:v>Status</x:v>
      </x:c>
      <x:c r="I2" s="21" t="str">
        <x:v>Days Outstanding</x:v>
      </x:c>
      <x:c r="J2" s="21" t="str">
        <x:v>Expected Collection Date</x:v>
      </x:c>
      <x:c r="K2" s="22" t="str">
        <x:v>Notes</x:v>
      </x:c>
    </x:row>
    <x:row r="3">
      <x:c r="A3" s="46" t="str">
        <x:v>INV-2601</x:v>
      </x:c>
      <x:c r="B3" s="46" t="str">
        <x:v>Aspen Ridge HOA</x:v>
      </x:c>
      <x:c r="C3" s="50" t="n">
        <x:v>46176</x:v>
      </x:c>
      <x:c r="D3" s="50" t="n">
        <x:v>46206</x:v>
      </x:c>
      <x:c r="E3" s="54" t="n">
        <x:v>6200</x:v>
      </x:c>
      <x:c r="F3" s="54" t="n">
        <x:v>6200</x:v>
      </x:c>
      <x:c r="G3" s="56" t="n">
        <x:f>MAX(E3-F3,0)</x:f>
        <x:v>0</x:v>
      </x:c>
      <x:c r="H3" s="48" t="str">
        <x:f>IF(G3=0,"Paid",IF(TODAY()&gt;D3,"Overdue",IF(F3&gt;0,"Partial","Sent")))</x:f>
        <x:v>Paid</x:v>
      </x:c>
      <x:c r="I3" s="76" t="n">
        <x:f>IF(G3=0,0,MAX(TODAY()-C3,0))</x:f>
        <x:v>0</x:v>
      </x:c>
      <x:c r="J3" s="50" t="n">
        <x:v>46201</x:v>
      </x:c>
      <x:c r="K3" s="72" t="str">
        <x:v>Paid in full</x:v>
      </x:c>
    </x:row>
    <x:row r="4">
      <x:c r="A4" s="46" t="str">
        <x:v>INV-2602</x:v>
      </x:c>
      <x:c r="B4" s="46" t="str">
        <x:v>Flatirons Property Mgmt</x:v>
      </x:c>
      <x:c r="C4" s="50" t="n">
        <x:v>46181</x:v>
      </x:c>
      <x:c r="D4" s="50" t="n">
        <x:v>46211</x:v>
      </x:c>
      <x:c r="E4" s="54" t="n">
        <x:v>4500</x:v>
      </x:c>
      <x:c r="F4" s="54" t="n">
        <x:v>2500</x:v>
      </x:c>
      <x:c r="G4" s="56" t="n">
        <x:f>MAX(E4-F4,0)</x:f>
        <x:v>2000</x:v>
      </x:c>
      <x:c r="H4" s="48" t="str">
        <x:f>IF(G4=0,"Paid",IF(TODAY()&gt;D4,"Overdue",IF(F4&gt;0,"Partial","Sent")))</x:f>
        <x:v>Overdue</x:v>
      </x:c>
      <x:c r="I4" s="76" t="n">
        <x:f>IF(G4=0,0,MAX(TODAY()-C4,0))</x:f>
        <x:v>49</x:v>
      </x:c>
      <x:c r="J4" s="50" t="n">
        <x:v>46234</x:v>
      </x:c>
      <x:c r="K4" s="72" t="str">
        <x:v>Partial payment received</x:v>
      </x:c>
    </x:row>
    <x:row r="5">
      <x:c r="A5" s="46" t="str">
        <x:v>INV-2603</x:v>
      </x:c>
      <x:c r="B5" s="46" t="str">
        <x:v>Green Valley Homes</x:v>
      </x:c>
      <x:c r="C5" s="50" t="n">
        <x:v>46188</x:v>
      </x:c>
      <x:c r="D5" s="50" t="n">
        <x:v>46218</x:v>
      </x:c>
      <x:c r="E5" s="54" t="n">
        <x:v>8500</x:v>
      </x:c>
      <x:c r="F5" s="54" t="n">
        <x:v>0</x:v>
      </x:c>
      <x:c r="G5" s="56" t="n">
        <x:f>MAX(E5-F5,0)</x:f>
        <x:v>8500</x:v>
      </x:c>
      <x:c r="H5" s="48" t="str">
        <x:f>IF(G5=0,"Paid",IF(TODAY()&gt;D5,"Overdue",IF(F5&gt;0,"Partial","Sent")))</x:f>
        <x:v>Overdue</x:v>
      </x:c>
      <x:c r="I5" s="76" t="n">
        <x:f>IF(G5=0,0,MAX(TODAY()-C5,0))</x:f>
        <x:v>42</x:v>
      </x:c>
      <x:c r="J5" s="50" t="n">
        <x:v>46239</x:v>
      </x:c>
      <x:c r="K5" s="72" t="str">
        <x:v>Owner promised payment</x:v>
      </x:c>
    </x:row>
    <x:row r="6">
      <x:c r="A6" s="46" t="str">
        <x:v>INV-2604</x:v>
      </x:c>
      <x:c r="B6" s="46" t="str">
        <x:v>Redstone Apartments</x:v>
      </x:c>
      <x:c r="C6" s="50" t="n">
        <x:v>46204</x:v>
      </x:c>
      <x:c r="D6" s="50" t="n">
        <x:v>46234</x:v>
      </x:c>
      <x:c r="E6" s="54" t="n">
        <x:v>3200</x:v>
      </x:c>
      <x:c r="F6" s="54" t="n">
        <x:v>0</x:v>
      </x:c>
      <x:c r="G6" s="56" t="n">
        <x:f>MAX(E6-F6,0)</x:f>
        <x:v>3200</x:v>
      </x:c>
      <x:c r="H6" s="48" t="str">
        <x:f>IF(G6=0,"Paid",IF(TODAY()&gt;D6,"Overdue",IF(F6&gt;0,"Partial","Sent")))</x:f>
        <x:v>Sent</x:v>
      </x:c>
      <x:c r="I6" s="76" t="n">
        <x:f>IF(G6=0,0,MAX(TODAY()-C6,0))</x:f>
        <x:v>26</x:v>
      </x:c>
      <x:c r="J6" s="50" t="n">
        <x:v>46249</x:v>
      </x:c>
      <x:c r="K6" s="72" t="str"/>
    </x:row>
    <x:row r="7">
      <x:c r="A7" s="46" t="str">
        <x:v>INV-2605</x:v>
      </x:c>
      <x:c r="B7" s="46" t="str">
        <x:v>Boulder Build Co.</x:v>
      </x:c>
      <x:c r="C7" s="50" t="n">
        <x:v>46210</x:v>
      </x:c>
      <x:c r="D7" s="50" t="n">
        <x:v>46240</x:v>
      </x:c>
      <x:c r="E7" s="54" t="n">
        <x:v>4750</x:v>
      </x:c>
      <x:c r="F7" s="54" t="n">
        <x:v>0</x:v>
      </x:c>
      <x:c r="G7" s="56" t="n">
        <x:f>MAX(E7-F7,0)</x:f>
        <x:v>4750</x:v>
      </x:c>
      <x:c r="H7" s="48" t="str">
        <x:f>IF(G7=0,"Paid",IF(TODAY()&gt;D7,"Overdue",IF(F7&gt;0,"Partial","Sent")))</x:f>
        <x:v>Sent</x:v>
      </x:c>
      <x:c r="I7" s="76" t="n">
        <x:f>IF(G7=0,0,MAX(TODAY()-C7,0))</x:f>
        <x:v>20</x:v>
      </x:c>
      <x:c r="J7" s="50" t="n">
        <x:v>46254</x:v>
      </x:c>
      <x:c r="K7" s="72" t="str"/>
    </x:row>
    <x:row r="8">
      <x:c r="A8" s="46"/>
      <x:c r="B8" s="46"/>
      <x:c r="C8" s="50"/>
      <x:c r="D8" s="50"/>
      <x:c r="E8" s="54"/>
      <x:c r="F8" s="54"/>
      <x:c r="G8" s="56" t="n">
        <x:f>MAX(E8-F8,0)</x:f>
        <x:v>0</x:v>
      </x:c>
      <x:c r="H8" s="48" t="str">
        <x:f>IF(G8=0,"Paid",IF(TODAY()&gt;D8,"Overdue",IF(F8&gt;0,"Partial","Sent")))</x:f>
        <x:v>Paid</x:v>
      </x:c>
      <x:c r="I8" s="76" t="n">
        <x:f>IF(G8=0,0,MAX(TODAY()-C8,0))</x:f>
        <x:v>0</x:v>
      </x:c>
      <x:c r="J8" s="50"/>
      <x:c r="K8" s="72"/>
    </x:row>
    <x:row r="9">
      <x:c r="A9" s="46"/>
      <x:c r="B9" s="46"/>
      <x:c r="C9" s="50"/>
      <x:c r="D9" s="50"/>
      <x:c r="E9" s="54"/>
      <x:c r="F9" s="54"/>
      <x:c r="G9" s="56" t="n">
        <x:f>MAX(E9-F9,0)</x:f>
        <x:v>0</x:v>
      </x:c>
      <x:c r="H9" s="48" t="str">
        <x:f>IF(G9=0,"Paid",IF(TODAY()&gt;D9,"Overdue",IF(F9&gt;0,"Partial","Sent")))</x:f>
        <x:v>Paid</x:v>
      </x:c>
      <x:c r="I9" s="76" t="n">
        <x:f>IF(G9=0,0,MAX(TODAY()-C9,0))</x:f>
        <x:v>0</x:v>
      </x:c>
      <x:c r="J9" s="50"/>
      <x:c r="K9" s="72"/>
    </x:row>
    <x:row r="10">
      <x:c r="A10" s="46"/>
      <x:c r="B10" s="46"/>
      <x:c r="C10" s="50"/>
      <x:c r="D10" s="50"/>
      <x:c r="E10" s="54"/>
      <x:c r="F10" s="54"/>
      <x:c r="G10" s="56" t="n">
        <x:f>MAX(E10-F10,0)</x:f>
        <x:v>0</x:v>
      </x:c>
      <x:c r="H10" s="48" t="str">
        <x:f>IF(G10=0,"Paid",IF(TODAY()&gt;D10,"Overdue",IF(F10&gt;0,"Partial","Sent")))</x:f>
        <x:v>Paid</x:v>
      </x:c>
      <x:c r="I10" s="76" t="n">
        <x:f>IF(G10=0,0,MAX(TODAY()-C10,0))</x:f>
        <x:v>0</x:v>
      </x:c>
      <x:c r="J10" s="50"/>
      <x:c r="K10" s="72"/>
    </x:row>
    <x:row r="11">
      <x:c r="A11" s="46"/>
      <x:c r="B11" s="46"/>
      <x:c r="C11" s="50"/>
      <x:c r="D11" s="50"/>
      <x:c r="E11" s="54"/>
      <x:c r="F11" s="54"/>
      <x:c r="G11" s="56" t="n">
        <x:f>MAX(E11-F11,0)</x:f>
        <x:v>0</x:v>
      </x:c>
      <x:c r="H11" s="48" t="str">
        <x:f>IF(G11=0,"Paid",IF(TODAY()&gt;D11,"Overdue",IF(F11&gt;0,"Partial","Sent")))</x:f>
        <x:v>Paid</x:v>
      </x:c>
      <x:c r="I11" s="76" t="n">
        <x:f>IF(G11=0,0,MAX(TODAY()-C11,0))</x:f>
        <x:v>0</x:v>
      </x:c>
      <x:c r="J11" s="50"/>
      <x:c r="K11" s="72"/>
    </x:row>
    <x:row r="12">
      <x:c r="A12" s="46"/>
      <x:c r="B12" s="46"/>
      <x:c r="C12" s="50"/>
      <x:c r="D12" s="50"/>
      <x:c r="E12" s="54"/>
      <x:c r="F12" s="54"/>
      <x:c r="G12" s="56" t="n">
        <x:f>MAX(E12-F12,0)</x:f>
        <x:v>0</x:v>
      </x:c>
      <x:c r="H12" s="48" t="str">
        <x:f>IF(G12=0,"Paid",IF(TODAY()&gt;D12,"Overdue",IF(F12&gt;0,"Partial","Sent")))</x:f>
        <x:v>Paid</x:v>
      </x:c>
      <x:c r="I12" s="76" t="n">
        <x:f>IF(G12=0,0,MAX(TODAY()-C12,0))</x:f>
        <x:v>0</x:v>
      </x:c>
      <x:c r="J12" s="50"/>
      <x:c r="K12" s="72"/>
    </x:row>
    <x:row r="13">
      <x:c r="A13" s="46"/>
      <x:c r="B13" s="46"/>
      <x:c r="C13" s="50"/>
      <x:c r="D13" s="50"/>
      <x:c r="E13" s="54"/>
      <x:c r="F13" s="54"/>
      <x:c r="G13" s="56" t="n">
        <x:f>MAX(E13-F13,0)</x:f>
        <x:v>0</x:v>
      </x:c>
      <x:c r="H13" s="48" t="str">
        <x:f>IF(G13=0,"Paid",IF(TODAY()&gt;D13,"Overdue",IF(F13&gt;0,"Partial","Sent")))</x:f>
        <x:v>Paid</x:v>
      </x:c>
      <x:c r="I13" s="76" t="n">
        <x:f>IF(G13=0,0,MAX(TODAY()-C13,0))</x:f>
        <x:v>0</x:v>
      </x:c>
      <x:c r="J13" s="50"/>
      <x:c r="K13" s="72"/>
    </x:row>
    <x:row r="14">
      <x:c r="A14" s="46"/>
      <x:c r="B14" s="46"/>
      <x:c r="C14" s="50"/>
      <x:c r="D14" s="50"/>
      <x:c r="E14" s="54"/>
      <x:c r="F14" s="54"/>
      <x:c r="G14" s="56" t="n">
        <x:f>MAX(E14-F14,0)</x:f>
        <x:v>0</x:v>
      </x:c>
      <x:c r="H14" s="48" t="str">
        <x:f>IF(G14=0,"Paid",IF(TODAY()&gt;D14,"Overdue",IF(F14&gt;0,"Partial","Sent")))</x:f>
        <x:v>Paid</x:v>
      </x:c>
      <x:c r="I14" s="76" t="n">
        <x:f>IF(G14=0,0,MAX(TODAY()-C14,0))</x:f>
        <x:v>0</x:v>
      </x:c>
      <x:c r="J14" s="50"/>
      <x:c r="K14" s="72"/>
    </x:row>
    <x:row r="15">
      <x:c r="A15" s="46"/>
      <x:c r="B15" s="46"/>
      <x:c r="C15" s="50"/>
      <x:c r="D15" s="50"/>
      <x:c r="E15" s="54"/>
      <x:c r="F15" s="54"/>
      <x:c r="G15" s="56" t="n">
        <x:f>MAX(E15-F15,0)</x:f>
        <x:v>0</x:v>
      </x:c>
      <x:c r="H15" s="48" t="str">
        <x:f>IF(G15=0,"Paid",IF(TODAY()&gt;D15,"Overdue",IF(F15&gt;0,"Partial","Sent")))</x:f>
        <x:v>Paid</x:v>
      </x:c>
      <x:c r="I15" s="76" t="n">
        <x:f>IF(G15=0,0,MAX(TODAY()-C15,0))</x:f>
        <x:v>0</x:v>
      </x:c>
      <x:c r="J15" s="50"/>
      <x:c r="K15" s="72"/>
    </x:row>
    <x:row r="16">
      <x:c r="A16" s="46"/>
      <x:c r="B16" s="46"/>
      <x:c r="C16" s="50"/>
      <x:c r="D16" s="50"/>
      <x:c r="E16" s="54"/>
      <x:c r="F16" s="54"/>
      <x:c r="G16" s="56" t="n">
        <x:f>MAX(E16-F16,0)</x:f>
        <x:v>0</x:v>
      </x:c>
      <x:c r="H16" s="48" t="str">
        <x:f>IF(G16=0,"Paid",IF(TODAY()&gt;D16,"Overdue",IF(F16&gt;0,"Partial","Sent")))</x:f>
        <x:v>Paid</x:v>
      </x:c>
      <x:c r="I16" s="76" t="n">
        <x:f>IF(G16=0,0,MAX(TODAY()-C16,0))</x:f>
        <x:v>0</x:v>
      </x:c>
      <x:c r="J16" s="50"/>
      <x:c r="K16" s="72"/>
    </x:row>
    <x:row r="17">
      <x:c r="A17" s="46"/>
      <x:c r="B17" s="46"/>
      <x:c r="C17" s="50"/>
      <x:c r="D17" s="50"/>
      <x:c r="E17" s="54"/>
      <x:c r="F17" s="54"/>
      <x:c r="G17" s="56" t="n">
        <x:f>MAX(E17-F17,0)</x:f>
        <x:v>0</x:v>
      </x:c>
      <x:c r="H17" s="48" t="str">
        <x:f>IF(G17=0,"Paid",IF(TODAY()&gt;D17,"Overdue",IF(F17&gt;0,"Partial","Sent")))</x:f>
        <x:v>Paid</x:v>
      </x:c>
      <x:c r="I17" s="76" t="n">
        <x:f>IF(G17=0,0,MAX(TODAY()-C17,0))</x:f>
        <x:v>0</x:v>
      </x:c>
      <x:c r="J17" s="50"/>
      <x:c r="K17" s="72"/>
    </x:row>
    <x:row r="18">
      <x:c r="A18" s="46"/>
      <x:c r="B18" s="46"/>
      <x:c r="C18" s="50"/>
      <x:c r="D18" s="50"/>
      <x:c r="E18" s="54"/>
      <x:c r="F18" s="54"/>
      <x:c r="G18" s="56" t="n">
        <x:f>MAX(E18-F18,0)</x:f>
        <x:v>0</x:v>
      </x:c>
      <x:c r="H18" s="48" t="str">
        <x:f>IF(G18=0,"Paid",IF(TODAY()&gt;D18,"Overdue",IF(F18&gt;0,"Partial","Sent")))</x:f>
        <x:v>Paid</x:v>
      </x:c>
      <x:c r="I18" s="76" t="n">
        <x:f>IF(G18=0,0,MAX(TODAY()-C18,0))</x:f>
        <x:v>0</x:v>
      </x:c>
      <x:c r="J18" s="50"/>
      <x:c r="K18" s="72"/>
    </x:row>
    <x:row r="19">
      <x:c r="A19" s="46"/>
      <x:c r="B19" s="46"/>
      <x:c r="C19" s="50"/>
      <x:c r="D19" s="50"/>
      <x:c r="E19" s="54"/>
      <x:c r="F19" s="54"/>
      <x:c r="G19" s="56" t="n">
        <x:f>MAX(E19-F19,0)</x:f>
        <x:v>0</x:v>
      </x:c>
      <x:c r="H19" s="48" t="str">
        <x:f>IF(G19=0,"Paid",IF(TODAY()&gt;D19,"Overdue",IF(F19&gt;0,"Partial","Sent")))</x:f>
        <x:v>Paid</x:v>
      </x:c>
      <x:c r="I19" s="76" t="n">
        <x:f>IF(G19=0,0,MAX(TODAY()-C19,0))</x:f>
        <x:v>0</x:v>
      </x:c>
      <x:c r="J19" s="50"/>
      <x:c r="K19" s="72"/>
    </x:row>
    <x:row r="20">
      <x:c r="A20" s="46"/>
      <x:c r="B20" s="46"/>
      <x:c r="C20" s="50"/>
      <x:c r="D20" s="50"/>
      <x:c r="E20" s="54"/>
      <x:c r="F20" s="54"/>
      <x:c r="G20" s="56" t="n">
        <x:f>MAX(E20-F20,0)</x:f>
        <x:v>0</x:v>
      </x:c>
      <x:c r="H20" s="48" t="str">
        <x:f>IF(G20=0,"Paid",IF(TODAY()&gt;D20,"Overdue",IF(F20&gt;0,"Partial","Sent")))</x:f>
        <x:v>Paid</x:v>
      </x:c>
      <x:c r="I20" s="76" t="n">
        <x:f>IF(G20=0,0,MAX(TODAY()-C20,0))</x:f>
        <x:v>0</x:v>
      </x:c>
      <x:c r="J20" s="50"/>
      <x:c r="K20" s="72"/>
    </x:row>
    <x:row r="21">
      <x:c r="A21" s="46"/>
      <x:c r="B21" s="46"/>
      <x:c r="C21" s="50"/>
      <x:c r="D21" s="50"/>
      <x:c r="E21" s="54"/>
      <x:c r="F21" s="54"/>
      <x:c r="G21" s="56" t="n">
        <x:f>MAX(E21-F21,0)</x:f>
        <x:v>0</x:v>
      </x:c>
      <x:c r="H21" s="48" t="str">
        <x:f>IF(G21=0,"Paid",IF(TODAY()&gt;D21,"Overdue",IF(F21&gt;0,"Partial","Sent")))</x:f>
        <x:v>Paid</x:v>
      </x:c>
      <x:c r="I21" s="76" t="n">
        <x:f>IF(G21=0,0,MAX(TODAY()-C21,0))</x:f>
        <x:v>0</x:v>
      </x:c>
      <x:c r="J21" s="50"/>
      <x:c r="K21" s="72"/>
    </x:row>
    <x:row r="22">
      <x:c r="A22" s="46"/>
      <x:c r="B22" s="46"/>
      <x:c r="C22" s="50"/>
      <x:c r="D22" s="50"/>
      <x:c r="E22" s="54"/>
      <x:c r="F22" s="54"/>
      <x:c r="G22" s="56" t="n">
        <x:f>MAX(E22-F22,0)</x:f>
        <x:v>0</x:v>
      </x:c>
      <x:c r="H22" s="48" t="str">
        <x:f>IF(G22=0,"Paid",IF(TODAY()&gt;D22,"Overdue",IF(F22&gt;0,"Partial","Sent")))</x:f>
        <x:v>Paid</x:v>
      </x:c>
      <x:c r="I22" s="76" t="n">
        <x:f>IF(G22=0,0,MAX(TODAY()-C22,0))</x:f>
        <x:v>0</x:v>
      </x:c>
      <x:c r="J22" s="50"/>
      <x:c r="K22" s="72"/>
    </x:row>
    <x:row r="23">
      <x:c r="A23" s="46"/>
      <x:c r="B23" s="46"/>
      <x:c r="C23" s="50"/>
      <x:c r="D23" s="50"/>
      <x:c r="E23" s="54"/>
      <x:c r="F23" s="54"/>
      <x:c r="G23" s="56" t="n">
        <x:f>MAX(E23-F23,0)</x:f>
        <x:v>0</x:v>
      </x:c>
      <x:c r="H23" s="48" t="str">
        <x:f>IF(G23=0,"Paid",IF(TODAY()&gt;D23,"Overdue",IF(F23&gt;0,"Partial","Sent")))</x:f>
        <x:v>Paid</x:v>
      </x:c>
      <x:c r="I23" s="76" t="n">
        <x:f>IF(G23=0,0,MAX(TODAY()-C23,0))</x:f>
        <x:v>0</x:v>
      </x:c>
      <x:c r="J23" s="50"/>
      <x:c r="K23" s="72"/>
    </x:row>
    <x:row r="24">
      <x:c r="A24" s="46"/>
      <x:c r="B24" s="46"/>
      <x:c r="C24" s="50"/>
      <x:c r="D24" s="50"/>
      <x:c r="E24" s="54"/>
      <x:c r="F24" s="54"/>
      <x:c r="G24" s="56" t="n">
        <x:f>MAX(E24-F24,0)</x:f>
        <x:v>0</x:v>
      </x:c>
      <x:c r="H24" s="48" t="str">
        <x:f>IF(G24=0,"Paid",IF(TODAY()&gt;D24,"Overdue",IF(F24&gt;0,"Partial","Sent")))</x:f>
        <x:v>Paid</x:v>
      </x:c>
      <x:c r="I24" s="76" t="n">
        <x:f>IF(G24=0,0,MAX(TODAY()-C24,0))</x:f>
        <x:v>0</x:v>
      </x:c>
      <x:c r="J24" s="50"/>
      <x:c r="K24" s="72"/>
    </x:row>
    <x:row r="25">
      <x:c r="A25" s="46"/>
      <x:c r="B25" s="46"/>
      <x:c r="C25" s="50"/>
      <x:c r="D25" s="50"/>
      <x:c r="E25" s="54"/>
      <x:c r="F25" s="54"/>
      <x:c r="G25" s="56" t="n">
        <x:f>MAX(E25-F25,0)</x:f>
        <x:v>0</x:v>
      </x:c>
      <x:c r="H25" s="48" t="str">
        <x:f>IF(G25=0,"Paid",IF(TODAY()&gt;D25,"Overdue",IF(F25&gt;0,"Partial","Sent")))</x:f>
        <x:v>Paid</x:v>
      </x:c>
      <x:c r="I25" s="76" t="n">
        <x:f>IF(G25=0,0,MAX(TODAY()-C25,0))</x:f>
        <x:v>0</x:v>
      </x:c>
      <x:c r="J25" s="50"/>
      <x:c r="K25" s="72"/>
    </x:row>
    <x:row r="26">
      <x:c r="A26" s="46"/>
      <x:c r="B26" s="46"/>
      <x:c r="C26" s="50"/>
      <x:c r="D26" s="50"/>
      <x:c r="E26" s="54"/>
      <x:c r="F26" s="54"/>
      <x:c r="G26" s="56" t="n">
        <x:f>MAX(E26-F26,0)</x:f>
        <x:v>0</x:v>
      </x:c>
      <x:c r="H26" s="48" t="str">
        <x:f>IF(G26=0,"Paid",IF(TODAY()&gt;D26,"Overdue",IF(F26&gt;0,"Partial","Sent")))</x:f>
        <x:v>Paid</x:v>
      </x:c>
      <x:c r="I26" s="76" t="n">
        <x:f>IF(G26=0,0,MAX(TODAY()-C26,0))</x:f>
        <x:v>0</x:v>
      </x:c>
      <x:c r="J26" s="50"/>
      <x:c r="K26" s="72"/>
    </x:row>
    <x:row r="27">
      <x:c r="A27" s="46"/>
      <x:c r="B27" s="46"/>
      <x:c r="C27" s="50"/>
      <x:c r="D27" s="50"/>
      <x:c r="E27" s="54"/>
      <x:c r="F27" s="54"/>
      <x:c r="G27" s="56" t="n">
        <x:f>MAX(E27-F27,0)</x:f>
        <x:v>0</x:v>
      </x:c>
      <x:c r="H27" s="48" t="str">
        <x:f>IF(G27=0,"Paid",IF(TODAY()&gt;D27,"Overdue",IF(F27&gt;0,"Partial","Sent")))</x:f>
        <x:v>Paid</x:v>
      </x:c>
      <x:c r="I27" s="76" t="n">
        <x:f>IF(G27=0,0,MAX(TODAY()-C27,0))</x:f>
        <x:v>0</x:v>
      </x:c>
      <x:c r="J27" s="50"/>
      <x:c r="K27" s="72"/>
    </x:row>
    <x:row r="28">
      <x:c r="A28" s="46"/>
      <x:c r="B28" s="46"/>
      <x:c r="C28" s="50"/>
      <x:c r="D28" s="50"/>
      <x:c r="E28" s="54"/>
      <x:c r="F28" s="54"/>
      <x:c r="G28" s="56" t="n">
        <x:f>MAX(E28-F28,0)</x:f>
        <x:v>0</x:v>
      </x:c>
      <x:c r="H28" s="48" t="str">
        <x:f>IF(G28=0,"Paid",IF(TODAY()&gt;D28,"Overdue",IF(F28&gt;0,"Partial","Sent")))</x:f>
        <x:v>Paid</x:v>
      </x:c>
      <x:c r="I28" s="76" t="n">
        <x:f>IF(G28=0,0,MAX(TODAY()-C28,0))</x:f>
        <x:v>0</x:v>
      </x:c>
      <x:c r="J28" s="50"/>
      <x:c r="K28" s="72"/>
    </x:row>
    <x:row r="29">
      <x:c r="A29" s="46"/>
      <x:c r="B29" s="46"/>
      <x:c r="C29" s="50"/>
      <x:c r="D29" s="50"/>
      <x:c r="E29" s="54"/>
      <x:c r="F29" s="54"/>
      <x:c r="G29" s="56" t="n">
        <x:f>MAX(E29-F29,0)</x:f>
        <x:v>0</x:v>
      </x:c>
      <x:c r="H29" s="48" t="str">
        <x:f>IF(G29=0,"Paid",IF(TODAY()&gt;D29,"Overdue",IF(F29&gt;0,"Partial","Sent")))</x:f>
        <x:v>Paid</x:v>
      </x:c>
      <x:c r="I29" s="76" t="n">
        <x:f>IF(G29=0,0,MAX(TODAY()-C29,0))</x:f>
        <x:v>0</x:v>
      </x:c>
      <x:c r="J29" s="50"/>
      <x:c r="K29" s="72"/>
    </x:row>
    <x:row r="30">
      <x:c r="A30" s="46"/>
      <x:c r="B30" s="46"/>
      <x:c r="C30" s="50"/>
      <x:c r="D30" s="50"/>
      <x:c r="E30" s="54"/>
      <x:c r="F30" s="54"/>
      <x:c r="G30" s="56" t="n">
        <x:f>MAX(E30-F30,0)</x:f>
        <x:v>0</x:v>
      </x:c>
      <x:c r="H30" s="48" t="str">
        <x:f>IF(G30=0,"Paid",IF(TODAY()&gt;D30,"Overdue",IF(F30&gt;0,"Partial","Sent")))</x:f>
        <x:v>Paid</x:v>
      </x:c>
      <x:c r="I30" s="76" t="n">
        <x:f>IF(G30=0,0,MAX(TODAY()-C30,0))</x:f>
        <x:v>0</x:v>
      </x:c>
      <x:c r="J30" s="50"/>
      <x:c r="K30" s="72"/>
    </x:row>
    <x:row r="31">
      <x:c r="A31" s="46"/>
      <x:c r="B31" s="46"/>
      <x:c r="C31" s="50"/>
      <x:c r="D31" s="50"/>
      <x:c r="E31" s="54"/>
      <x:c r="F31" s="54"/>
      <x:c r="G31" s="56" t="n">
        <x:f>MAX(E31-F31,0)</x:f>
        <x:v>0</x:v>
      </x:c>
      <x:c r="H31" s="48" t="str">
        <x:f>IF(G31=0,"Paid",IF(TODAY()&gt;D31,"Overdue",IF(F31&gt;0,"Partial","Sent")))</x:f>
        <x:v>Paid</x:v>
      </x:c>
      <x:c r="I31" s="76" t="n">
        <x:f>IF(G31=0,0,MAX(TODAY()-C31,0))</x:f>
        <x:v>0</x:v>
      </x:c>
      <x:c r="J31" s="50"/>
      <x:c r="K31" s="72"/>
    </x:row>
    <x:row r="32">
      <x:c r="A32" s="46"/>
      <x:c r="B32" s="46"/>
      <x:c r="C32" s="50"/>
      <x:c r="D32" s="50"/>
      <x:c r="E32" s="54"/>
      <x:c r="F32" s="54"/>
      <x:c r="G32" s="56" t="n">
        <x:f>MAX(E32-F32,0)</x:f>
        <x:v>0</x:v>
      </x:c>
      <x:c r="H32" s="48" t="str">
        <x:f>IF(G32=0,"Paid",IF(TODAY()&gt;D32,"Overdue",IF(F32&gt;0,"Partial","Sent")))</x:f>
        <x:v>Paid</x:v>
      </x:c>
      <x:c r="I32" s="76" t="n">
        <x:f>IF(G32=0,0,MAX(TODAY()-C32,0))</x:f>
        <x:v>0</x:v>
      </x:c>
      <x:c r="J32" s="50"/>
      <x:c r="K32" s="72"/>
    </x:row>
    <x:row r="33">
      <x:c r="A33" s="46"/>
      <x:c r="B33" s="46"/>
      <x:c r="C33" s="50"/>
      <x:c r="D33" s="50"/>
      <x:c r="E33" s="54"/>
      <x:c r="F33" s="54"/>
      <x:c r="G33" s="56" t="n">
        <x:f>MAX(E33-F33,0)</x:f>
        <x:v>0</x:v>
      </x:c>
      <x:c r="H33" s="48" t="str">
        <x:f>IF(G33=0,"Paid",IF(TODAY()&gt;D33,"Overdue",IF(F33&gt;0,"Partial","Sent")))</x:f>
        <x:v>Paid</x:v>
      </x:c>
      <x:c r="I33" s="76" t="n">
        <x:f>IF(G33=0,0,MAX(TODAY()-C33,0))</x:f>
        <x:v>0</x:v>
      </x:c>
      <x:c r="J33" s="50"/>
      <x:c r="K33" s="72"/>
    </x:row>
    <x:row r="34">
      <x:c r="A34" s="46"/>
      <x:c r="B34" s="46"/>
      <x:c r="C34" s="50"/>
      <x:c r="D34" s="50"/>
      <x:c r="E34" s="54"/>
      <x:c r="F34" s="54"/>
      <x:c r="G34" s="56" t="n">
        <x:f>MAX(E34-F34,0)</x:f>
        <x:v>0</x:v>
      </x:c>
      <x:c r="H34" s="48" t="str">
        <x:f>IF(G34=0,"Paid",IF(TODAY()&gt;D34,"Overdue",IF(F34&gt;0,"Partial","Sent")))</x:f>
        <x:v>Paid</x:v>
      </x:c>
      <x:c r="I34" s="76" t="n">
        <x:f>IF(G34=0,0,MAX(TODAY()-C34,0))</x:f>
        <x:v>0</x:v>
      </x:c>
      <x:c r="J34" s="50"/>
      <x:c r="K34" s="72"/>
    </x:row>
    <x:row r="35">
      <x:c r="A35" s="46"/>
      <x:c r="B35" s="46"/>
      <x:c r="C35" s="50"/>
      <x:c r="D35" s="50"/>
      <x:c r="E35" s="54"/>
      <x:c r="F35" s="54"/>
      <x:c r="G35" s="56" t="n">
        <x:f>MAX(E35-F35,0)</x:f>
        <x:v>0</x:v>
      </x:c>
      <x:c r="H35" s="48" t="str">
        <x:f>IF(G35=0,"Paid",IF(TODAY()&gt;D35,"Overdue",IF(F35&gt;0,"Partial","Sent")))</x:f>
        <x:v>Paid</x:v>
      </x:c>
      <x:c r="I35" s="76" t="n">
        <x:f>IF(G35=0,0,MAX(TODAY()-C35,0))</x:f>
        <x:v>0</x:v>
      </x:c>
      <x:c r="J35" s="50"/>
      <x:c r="K35" s="72"/>
    </x:row>
    <x:row r="36">
      <x:c r="A36" s="46"/>
      <x:c r="B36" s="46"/>
      <x:c r="C36" s="50"/>
      <x:c r="D36" s="50"/>
      <x:c r="E36" s="54"/>
      <x:c r="F36" s="54"/>
      <x:c r="G36" s="56" t="n">
        <x:f>MAX(E36-F36,0)</x:f>
        <x:v>0</x:v>
      </x:c>
      <x:c r="H36" s="48" t="str">
        <x:f>IF(G36=0,"Paid",IF(TODAY()&gt;D36,"Overdue",IF(F36&gt;0,"Partial","Sent")))</x:f>
        <x:v>Paid</x:v>
      </x:c>
      <x:c r="I36" s="76" t="n">
        <x:f>IF(G36=0,0,MAX(TODAY()-C36,0))</x:f>
        <x:v>0</x:v>
      </x:c>
      <x:c r="J36" s="50"/>
      <x:c r="K36" s="72"/>
    </x:row>
    <x:row r="37">
      <x:c r="A37" s="46"/>
      <x:c r="B37" s="46"/>
      <x:c r="C37" s="50"/>
      <x:c r="D37" s="50"/>
      <x:c r="E37" s="54"/>
      <x:c r="F37" s="54"/>
      <x:c r="G37" s="56" t="n">
        <x:f>MAX(E37-F37,0)</x:f>
        <x:v>0</x:v>
      </x:c>
      <x:c r="H37" s="48" t="str">
        <x:f>IF(G37=0,"Paid",IF(TODAY()&gt;D37,"Overdue",IF(F37&gt;0,"Partial","Sent")))</x:f>
        <x:v>Paid</x:v>
      </x:c>
      <x:c r="I37" s="76" t="n">
        <x:f>IF(G37=0,0,MAX(TODAY()-C37,0))</x:f>
        <x:v>0</x:v>
      </x:c>
      <x:c r="J37" s="50"/>
      <x:c r="K37" s="72"/>
    </x:row>
    <x:row r="38">
      <x:c r="A38" s="46"/>
      <x:c r="B38" s="46"/>
      <x:c r="C38" s="50"/>
      <x:c r="D38" s="50"/>
      <x:c r="E38" s="54"/>
      <x:c r="F38" s="54"/>
      <x:c r="G38" s="56" t="n">
        <x:f>MAX(E38-F38,0)</x:f>
        <x:v>0</x:v>
      </x:c>
      <x:c r="H38" s="48" t="str">
        <x:f>IF(G38=0,"Paid",IF(TODAY()&gt;D38,"Overdue",IF(F38&gt;0,"Partial","Sent")))</x:f>
        <x:v>Paid</x:v>
      </x:c>
      <x:c r="I38" s="76" t="n">
        <x:f>IF(G38=0,0,MAX(TODAY()-C38,0))</x:f>
        <x:v>0</x:v>
      </x:c>
      <x:c r="J38" s="50"/>
      <x:c r="K38" s="72"/>
    </x:row>
    <x:row r="39">
      <x:c r="A39" s="46"/>
      <x:c r="B39" s="46"/>
      <x:c r="C39" s="50"/>
      <x:c r="D39" s="50"/>
      <x:c r="E39" s="54"/>
      <x:c r="F39" s="54"/>
      <x:c r="G39" s="56" t="n">
        <x:f>MAX(E39-F39,0)</x:f>
        <x:v>0</x:v>
      </x:c>
      <x:c r="H39" s="48" t="str">
        <x:f>IF(G39=0,"Paid",IF(TODAY()&gt;D39,"Overdue",IF(F39&gt;0,"Partial","Sent")))</x:f>
        <x:v>Paid</x:v>
      </x:c>
      <x:c r="I39" s="76" t="n">
        <x:f>IF(G39=0,0,MAX(TODAY()-C39,0))</x:f>
        <x:v>0</x:v>
      </x:c>
      <x:c r="J39" s="50"/>
      <x:c r="K39" s="72"/>
    </x:row>
    <x:row r="40">
      <x:c r="A40" s="46"/>
      <x:c r="B40" s="46"/>
      <x:c r="C40" s="50"/>
      <x:c r="D40" s="50"/>
      <x:c r="E40" s="54"/>
      <x:c r="F40" s="54"/>
      <x:c r="G40" s="56" t="n">
        <x:f>MAX(E40-F40,0)</x:f>
        <x:v>0</x:v>
      </x:c>
      <x:c r="H40" s="48" t="str">
        <x:f>IF(G40=0,"Paid",IF(TODAY()&gt;D40,"Overdue",IF(F40&gt;0,"Partial","Sent")))</x:f>
        <x:v>Paid</x:v>
      </x:c>
      <x:c r="I40" s="76" t="n">
        <x:f>IF(G40=0,0,MAX(TODAY()-C40,0))</x:f>
        <x:v>0</x:v>
      </x:c>
      <x:c r="J40" s="50"/>
      <x:c r="K40" s="72"/>
    </x:row>
    <x:row r="41">
      <x:c r="A41" s="46"/>
      <x:c r="B41" s="46"/>
      <x:c r="C41" s="50"/>
      <x:c r="D41" s="50"/>
      <x:c r="E41" s="54"/>
      <x:c r="F41" s="54"/>
      <x:c r="G41" s="56" t="n">
        <x:f>MAX(E41-F41,0)</x:f>
        <x:v>0</x:v>
      </x:c>
      <x:c r="H41" s="48" t="str">
        <x:f>IF(G41=0,"Paid",IF(TODAY()&gt;D41,"Overdue",IF(F41&gt;0,"Partial","Sent")))</x:f>
        <x:v>Paid</x:v>
      </x:c>
      <x:c r="I41" s="76" t="n">
        <x:f>IF(G41=0,0,MAX(TODAY()-C41,0))</x:f>
        <x:v>0</x:v>
      </x:c>
      <x:c r="J41" s="50"/>
      <x:c r="K41" s="72"/>
    </x:row>
    <x:row r="42">
      <x:c r="A42" s="46"/>
      <x:c r="B42" s="46"/>
      <x:c r="C42" s="50"/>
      <x:c r="D42" s="50"/>
      <x:c r="E42" s="54"/>
      <x:c r="F42" s="54"/>
      <x:c r="G42" s="56" t="n">
        <x:f>MAX(E42-F42,0)</x:f>
        <x:v>0</x:v>
      </x:c>
      <x:c r="H42" s="48" t="str">
        <x:f>IF(G42=0,"Paid",IF(TODAY()&gt;D42,"Overdue",IF(F42&gt;0,"Partial","Sent")))</x:f>
        <x:v>Paid</x:v>
      </x:c>
      <x:c r="I42" s="76" t="n">
        <x:f>IF(G42=0,0,MAX(TODAY()-C42,0))</x:f>
        <x:v>0</x:v>
      </x:c>
      <x:c r="J42" s="50"/>
      <x:c r="K42" s="72"/>
    </x:row>
    <x:row r="43">
      <x:c r="A43" s="46"/>
      <x:c r="B43" s="46"/>
      <x:c r="C43" s="50"/>
      <x:c r="D43" s="50"/>
      <x:c r="E43" s="54"/>
      <x:c r="F43" s="54"/>
      <x:c r="G43" s="56" t="n">
        <x:f>MAX(E43-F43,0)</x:f>
        <x:v>0</x:v>
      </x:c>
      <x:c r="H43" s="48" t="str">
        <x:f>IF(G43=0,"Paid",IF(TODAY()&gt;D43,"Overdue",IF(F43&gt;0,"Partial","Sent")))</x:f>
        <x:v>Paid</x:v>
      </x:c>
      <x:c r="I43" s="76" t="n">
        <x:f>IF(G43=0,0,MAX(TODAY()-C43,0))</x:f>
        <x:v>0</x:v>
      </x:c>
      <x:c r="J43" s="50"/>
      <x:c r="K43" s="72"/>
    </x:row>
    <x:row r="44">
      <x:c r="A44" s="46"/>
      <x:c r="B44" s="46"/>
      <x:c r="C44" s="50"/>
      <x:c r="D44" s="50"/>
      <x:c r="E44" s="54"/>
      <x:c r="F44" s="54"/>
      <x:c r="G44" s="56" t="n">
        <x:f>MAX(E44-F44,0)</x:f>
        <x:v>0</x:v>
      </x:c>
      <x:c r="H44" s="48" t="str">
        <x:f>IF(G44=0,"Paid",IF(TODAY()&gt;D44,"Overdue",IF(F44&gt;0,"Partial","Sent")))</x:f>
        <x:v>Paid</x:v>
      </x:c>
      <x:c r="I44" s="76" t="n">
        <x:f>IF(G44=0,0,MAX(TODAY()-C44,0))</x:f>
        <x:v>0</x:v>
      </x:c>
      <x:c r="J44" s="50"/>
      <x:c r="K44" s="72"/>
    </x:row>
    <x:row r="45">
      <x:c r="A45" s="46"/>
      <x:c r="B45" s="46"/>
      <x:c r="C45" s="50"/>
      <x:c r="D45" s="50"/>
      <x:c r="E45" s="54"/>
      <x:c r="F45" s="54"/>
      <x:c r="G45" s="56" t="n">
        <x:f>MAX(E45-F45,0)</x:f>
        <x:v>0</x:v>
      </x:c>
      <x:c r="H45" s="48" t="str">
        <x:f>IF(G45=0,"Paid",IF(TODAY()&gt;D45,"Overdue",IF(F45&gt;0,"Partial","Sent")))</x:f>
        <x:v>Paid</x:v>
      </x:c>
      <x:c r="I45" s="76" t="n">
        <x:f>IF(G45=0,0,MAX(TODAY()-C45,0))</x:f>
        <x:v>0</x:v>
      </x:c>
      <x:c r="J45" s="50"/>
      <x:c r="K45" s="72"/>
    </x:row>
    <x:row r="46">
      <x:c r="A46" s="46"/>
      <x:c r="B46" s="46"/>
      <x:c r="C46" s="50"/>
      <x:c r="D46" s="50"/>
      <x:c r="E46" s="54"/>
      <x:c r="F46" s="54"/>
      <x:c r="G46" s="56" t="n">
        <x:f>MAX(E46-F46,0)</x:f>
        <x:v>0</x:v>
      </x:c>
      <x:c r="H46" s="48" t="str">
        <x:f>IF(G46=0,"Paid",IF(TODAY()&gt;D46,"Overdue",IF(F46&gt;0,"Partial","Sent")))</x:f>
        <x:v>Paid</x:v>
      </x:c>
      <x:c r="I46" s="76" t="n">
        <x:f>IF(G46=0,0,MAX(TODAY()-C46,0))</x:f>
        <x:v>0</x:v>
      </x:c>
      <x:c r="J46" s="50"/>
      <x:c r="K46" s="72"/>
    </x:row>
    <x:row r="47">
      <x:c r="A47" s="46"/>
      <x:c r="B47" s="46"/>
      <x:c r="C47" s="50"/>
      <x:c r="D47" s="50"/>
      <x:c r="E47" s="54"/>
      <x:c r="F47" s="54"/>
      <x:c r="G47" s="56" t="n">
        <x:f>MAX(E47-F47,0)</x:f>
        <x:v>0</x:v>
      </x:c>
      <x:c r="H47" s="48" t="str">
        <x:f>IF(G47=0,"Paid",IF(TODAY()&gt;D47,"Overdue",IF(F47&gt;0,"Partial","Sent")))</x:f>
        <x:v>Paid</x:v>
      </x:c>
      <x:c r="I47" s="76" t="n">
        <x:f>IF(G47=0,0,MAX(TODAY()-C47,0))</x:f>
        <x:v>0</x:v>
      </x:c>
      <x:c r="J47" s="50"/>
      <x:c r="K47" s="72"/>
    </x:row>
    <x:row r="48">
      <x:c r="A48" s="46"/>
      <x:c r="B48" s="46"/>
      <x:c r="C48" s="50"/>
      <x:c r="D48" s="50"/>
      <x:c r="E48" s="54"/>
      <x:c r="F48" s="54"/>
      <x:c r="G48" s="56" t="n">
        <x:f>MAX(E48-F48,0)</x:f>
        <x:v>0</x:v>
      </x:c>
      <x:c r="H48" s="48" t="str">
        <x:f>IF(G48=0,"Paid",IF(TODAY()&gt;D48,"Overdue",IF(F48&gt;0,"Partial","Sent")))</x:f>
        <x:v>Paid</x:v>
      </x:c>
      <x:c r="I48" s="76" t="n">
        <x:f>IF(G48=0,0,MAX(TODAY()-C48,0))</x:f>
        <x:v>0</x:v>
      </x:c>
      <x:c r="J48" s="50"/>
      <x:c r="K48" s="72"/>
    </x:row>
    <x:row r="49">
      <x:c r="A49" s="46"/>
      <x:c r="B49" s="46"/>
      <x:c r="C49" s="50"/>
      <x:c r="D49" s="50"/>
      <x:c r="E49" s="54"/>
      <x:c r="F49" s="54"/>
      <x:c r="G49" s="56" t="n">
        <x:f>MAX(E49-F49,0)</x:f>
        <x:v>0</x:v>
      </x:c>
      <x:c r="H49" s="48" t="str">
        <x:f>IF(G49=0,"Paid",IF(TODAY()&gt;D49,"Overdue",IF(F49&gt;0,"Partial","Sent")))</x:f>
        <x:v>Paid</x:v>
      </x:c>
      <x:c r="I49" s="76" t="n">
        <x:f>IF(G49=0,0,MAX(TODAY()-C49,0))</x:f>
        <x:v>0</x:v>
      </x:c>
      <x:c r="J49" s="50"/>
      <x:c r="K49" s="72"/>
    </x:row>
    <x:row r="50">
      <x:c r="A50" s="46"/>
      <x:c r="B50" s="46"/>
      <x:c r="C50" s="50"/>
      <x:c r="D50" s="50"/>
      <x:c r="E50" s="54"/>
      <x:c r="F50" s="54"/>
      <x:c r="G50" s="56" t="n">
        <x:f>MAX(E50-F50,0)</x:f>
        <x:v>0</x:v>
      </x:c>
      <x:c r="H50" s="48" t="str">
        <x:f>IF(G50=0,"Paid",IF(TODAY()&gt;D50,"Overdue",IF(F50&gt;0,"Partial","Sent")))</x:f>
        <x:v>Paid</x:v>
      </x:c>
      <x:c r="I50" s="76" t="n">
        <x:f>IF(G50=0,0,MAX(TODAY()-C50,0))</x:f>
        <x:v>0</x:v>
      </x:c>
      <x:c r="J50" s="50"/>
      <x:c r="K50" s="72"/>
    </x:row>
    <x:row r="51">
      <x:c r="A51" s="46"/>
      <x:c r="B51" s="46"/>
      <x:c r="C51" s="50"/>
      <x:c r="D51" s="50"/>
      <x:c r="E51" s="54"/>
      <x:c r="F51" s="54"/>
      <x:c r="G51" s="56" t="n">
        <x:f>MAX(E51-F51,0)</x:f>
        <x:v>0</x:v>
      </x:c>
      <x:c r="H51" s="48" t="str">
        <x:f>IF(G51=0,"Paid",IF(TODAY()&gt;D51,"Overdue",IF(F51&gt;0,"Partial","Sent")))</x:f>
        <x:v>Paid</x:v>
      </x:c>
      <x:c r="I51" s="76" t="n">
        <x:f>IF(G51=0,0,MAX(TODAY()-C51,0))</x:f>
        <x:v>0</x:v>
      </x:c>
      <x:c r="J51" s="50"/>
      <x:c r="K51" s="72"/>
    </x:row>
    <x:row r="52">
      <x:c r="A52" s="46"/>
      <x:c r="B52" s="46"/>
      <x:c r="C52" s="50"/>
      <x:c r="D52" s="50"/>
      <x:c r="E52" s="54"/>
      <x:c r="F52" s="54"/>
      <x:c r="G52" s="56" t="n">
        <x:f>MAX(E52-F52,0)</x:f>
        <x:v>0</x:v>
      </x:c>
      <x:c r="H52" s="48" t="str">
        <x:f>IF(G52=0,"Paid",IF(TODAY()&gt;D52,"Overdue",IF(F52&gt;0,"Partial","Sent")))</x:f>
        <x:v>Paid</x:v>
      </x:c>
      <x:c r="I52" s="76" t="n">
        <x:f>IF(G52=0,0,MAX(TODAY()-C52,0))</x:f>
        <x:v>0</x:v>
      </x:c>
      <x:c r="J52" s="50"/>
      <x:c r="K52" s="72"/>
    </x:row>
    <x:row r="53">
      <x:c r="A53" s="46"/>
      <x:c r="B53" s="46"/>
      <x:c r="C53" s="50"/>
      <x:c r="D53" s="50"/>
      <x:c r="E53" s="54"/>
      <x:c r="F53" s="54"/>
      <x:c r="G53" s="56" t="n">
        <x:f>MAX(E53-F53,0)</x:f>
        <x:v>0</x:v>
      </x:c>
      <x:c r="H53" s="48" t="str">
        <x:f>IF(G53=0,"Paid",IF(TODAY()&gt;D53,"Overdue",IF(F53&gt;0,"Partial","Sent")))</x:f>
        <x:v>Paid</x:v>
      </x:c>
      <x:c r="I53" s="76" t="n">
        <x:f>IF(G53=0,0,MAX(TODAY()-C53,0))</x:f>
        <x:v>0</x:v>
      </x:c>
      <x:c r="J53" s="50"/>
      <x:c r="K53" s="72"/>
    </x:row>
    <x:row r="54">
      <x:c r="A54" s="46"/>
      <x:c r="B54" s="46"/>
      <x:c r="C54" s="50"/>
      <x:c r="D54" s="50"/>
      <x:c r="E54" s="54"/>
      <x:c r="F54" s="54"/>
      <x:c r="G54" s="56" t="n">
        <x:f>MAX(E54-F54,0)</x:f>
        <x:v>0</x:v>
      </x:c>
      <x:c r="H54" s="48" t="str">
        <x:f>IF(G54=0,"Paid",IF(TODAY()&gt;D54,"Overdue",IF(F54&gt;0,"Partial","Sent")))</x:f>
        <x:v>Paid</x:v>
      </x:c>
      <x:c r="I54" s="76" t="n">
        <x:f>IF(G54=0,0,MAX(TODAY()-C54,0))</x:f>
        <x:v>0</x:v>
      </x:c>
      <x:c r="J54" s="50"/>
      <x:c r="K54" s="72"/>
    </x:row>
    <x:row r="55">
      <x:c r="A55" s="46"/>
      <x:c r="B55" s="46"/>
      <x:c r="C55" s="50"/>
      <x:c r="D55" s="50"/>
      <x:c r="E55" s="54"/>
      <x:c r="F55" s="54"/>
      <x:c r="G55" s="56" t="n">
        <x:f>MAX(E55-F55,0)</x:f>
        <x:v>0</x:v>
      </x:c>
      <x:c r="H55" s="48" t="str">
        <x:f>IF(G55=0,"Paid",IF(TODAY()&gt;D55,"Overdue",IF(F55&gt;0,"Partial","Sent")))</x:f>
        <x:v>Paid</x:v>
      </x:c>
      <x:c r="I55" s="76" t="n">
        <x:f>IF(G55=0,0,MAX(TODAY()-C55,0))</x:f>
        <x:v>0</x:v>
      </x:c>
      <x:c r="J55" s="50"/>
      <x:c r="K55" s="72"/>
    </x:row>
    <x:row r="56">
      <x:c r="A56" s="46"/>
      <x:c r="B56" s="46"/>
      <x:c r="C56" s="50"/>
      <x:c r="D56" s="50"/>
      <x:c r="E56" s="54"/>
      <x:c r="F56" s="54"/>
      <x:c r="G56" s="56" t="n">
        <x:f>MAX(E56-F56,0)</x:f>
        <x:v>0</x:v>
      </x:c>
      <x:c r="H56" s="48" t="str">
        <x:f>IF(G56=0,"Paid",IF(TODAY()&gt;D56,"Overdue",IF(F56&gt;0,"Partial","Sent")))</x:f>
        <x:v>Paid</x:v>
      </x:c>
      <x:c r="I56" s="76" t="n">
        <x:f>IF(G56=0,0,MAX(TODAY()-C56,0))</x:f>
        <x:v>0</x:v>
      </x:c>
      <x:c r="J56" s="50"/>
      <x:c r="K56" s="72"/>
    </x:row>
    <x:row r="57">
      <x:c r="A57" s="46"/>
      <x:c r="B57" s="46"/>
      <x:c r="C57" s="50"/>
      <x:c r="D57" s="50"/>
      <x:c r="E57" s="54"/>
      <x:c r="F57" s="54"/>
      <x:c r="G57" s="56" t="n">
        <x:f>MAX(E57-F57,0)</x:f>
        <x:v>0</x:v>
      </x:c>
      <x:c r="H57" s="48" t="str">
        <x:f>IF(G57=0,"Paid",IF(TODAY()&gt;D57,"Overdue",IF(F57&gt;0,"Partial","Sent")))</x:f>
        <x:v>Paid</x:v>
      </x:c>
      <x:c r="I57" s="76" t="n">
        <x:f>IF(G57=0,0,MAX(TODAY()-C57,0))</x:f>
        <x:v>0</x:v>
      </x:c>
      <x:c r="J57" s="50"/>
      <x:c r="K57" s="72"/>
    </x:row>
    <x:row r="58">
      <x:c r="A58" s="46"/>
      <x:c r="B58" s="46"/>
      <x:c r="C58" s="50"/>
      <x:c r="D58" s="50"/>
      <x:c r="E58" s="54"/>
      <x:c r="F58" s="54"/>
      <x:c r="G58" s="56" t="n">
        <x:f>MAX(E58-F58,0)</x:f>
        <x:v>0</x:v>
      </x:c>
      <x:c r="H58" s="48" t="str">
        <x:f>IF(G58=0,"Paid",IF(TODAY()&gt;D58,"Overdue",IF(F58&gt;0,"Partial","Sent")))</x:f>
        <x:v>Paid</x:v>
      </x:c>
      <x:c r="I58" s="76" t="n">
        <x:f>IF(G58=0,0,MAX(TODAY()-C58,0))</x:f>
        <x:v>0</x:v>
      </x:c>
      <x:c r="J58" s="50"/>
      <x:c r="K58" s="72"/>
    </x:row>
    <x:row r="59">
      <x:c r="A59" s="46"/>
      <x:c r="B59" s="46"/>
      <x:c r="C59" s="50"/>
      <x:c r="D59" s="50"/>
      <x:c r="E59" s="54"/>
      <x:c r="F59" s="54"/>
      <x:c r="G59" s="56" t="n">
        <x:f>MAX(E59-F59,0)</x:f>
        <x:v>0</x:v>
      </x:c>
      <x:c r="H59" s="48" t="str">
        <x:f>IF(G59=0,"Paid",IF(TODAY()&gt;D59,"Overdue",IF(F59&gt;0,"Partial","Sent")))</x:f>
        <x:v>Paid</x:v>
      </x:c>
      <x:c r="I59" s="76" t="n">
        <x:f>IF(G59=0,0,MAX(TODAY()-C59,0))</x:f>
        <x:v>0</x:v>
      </x:c>
      <x:c r="J59" s="50"/>
      <x:c r="K59" s="72"/>
    </x:row>
    <x:row r="60">
      <x:c r="A60" s="46"/>
      <x:c r="B60" s="46"/>
      <x:c r="C60" s="50"/>
      <x:c r="D60" s="50"/>
      <x:c r="E60" s="54"/>
      <x:c r="F60" s="54"/>
      <x:c r="G60" s="56" t="n">
        <x:f>MAX(E60-F60,0)</x:f>
        <x:v>0</x:v>
      </x:c>
      <x:c r="H60" s="48" t="str">
        <x:f>IF(G60=0,"Paid",IF(TODAY()&gt;D60,"Overdue",IF(F60&gt;0,"Partial","Sent")))</x:f>
        <x:v>Paid</x:v>
      </x:c>
      <x:c r="I60" s="76" t="n">
        <x:f>IF(G60=0,0,MAX(TODAY()-C60,0))</x:f>
        <x:v>0</x:v>
      </x:c>
      <x:c r="J60" s="50"/>
      <x:c r="K60" s="72"/>
    </x:row>
    <x:row r="61">
      <x:c r="A61" s="46"/>
      <x:c r="B61" s="46"/>
      <x:c r="C61" s="50"/>
      <x:c r="D61" s="50"/>
      <x:c r="E61" s="54"/>
      <x:c r="F61" s="54"/>
      <x:c r="G61" s="56" t="n">
        <x:f>MAX(E61-F61,0)</x:f>
        <x:v>0</x:v>
      </x:c>
      <x:c r="H61" s="48" t="str">
        <x:f>IF(G61=0,"Paid",IF(TODAY()&gt;D61,"Overdue",IF(F61&gt;0,"Partial","Sent")))</x:f>
        <x:v>Paid</x:v>
      </x:c>
      <x:c r="I61" s="76" t="n">
        <x:f>IF(G61=0,0,MAX(TODAY()-C61,0))</x:f>
        <x:v>0</x:v>
      </x:c>
      <x:c r="J61" s="50"/>
      <x:c r="K61" s="72"/>
    </x:row>
    <x:row r="62">
      <x:c r="A62" s="46"/>
      <x:c r="B62" s="46"/>
      <x:c r="C62" s="50"/>
      <x:c r="D62" s="50"/>
      <x:c r="E62" s="54"/>
      <x:c r="F62" s="54"/>
      <x:c r="G62" s="56" t="n">
        <x:f>MAX(E62-F62,0)</x:f>
        <x:v>0</x:v>
      </x:c>
      <x:c r="H62" s="48" t="str">
        <x:f>IF(G62=0,"Paid",IF(TODAY()&gt;D62,"Overdue",IF(F62&gt;0,"Partial","Sent")))</x:f>
        <x:v>Paid</x:v>
      </x:c>
      <x:c r="I62" s="76" t="n">
        <x:f>IF(G62=0,0,MAX(TODAY()-C62,0))</x:f>
        <x:v>0</x:v>
      </x:c>
      <x:c r="J62" s="50"/>
      <x:c r="K62" s="72"/>
    </x:row>
    <x:row r="63">
      <x:c r="A63" s="46"/>
      <x:c r="B63" s="46"/>
      <x:c r="C63" s="50"/>
      <x:c r="D63" s="50"/>
      <x:c r="E63" s="54"/>
      <x:c r="F63" s="54"/>
      <x:c r="G63" s="56" t="n">
        <x:f>MAX(E63-F63,0)</x:f>
        <x:v>0</x:v>
      </x:c>
      <x:c r="H63" s="48" t="str">
        <x:f>IF(G63=0,"Paid",IF(TODAY()&gt;D63,"Overdue",IF(F63&gt;0,"Partial","Sent")))</x:f>
        <x:v>Paid</x:v>
      </x:c>
      <x:c r="I63" s="76" t="n">
        <x:f>IF(G63=0,0,MAX(TODAY()-C63,0))</x:f>
        <x:v>0</x:v>
      </x:c>
      <x:c r="J63" s="50"/>
      <x:c r="K63" s="72"/>
    </x:row>
    <x:row r="64">
      <x:c r="A64" s="46"/>
      <x:c r="B64" s="46"/>
      <x:c r="C64" s="50"/>
      <x:c r="D64" s="50"/>
      <x:c r="E64" s="54"/>
      <x:c r="F64" s="54"/>
      <x:c r="G64" s="56" t="n">
        <x:f>MAX(E64-F64,0)</x:f>
        <x:v>0</x:v>
      </x:c>
      <x:c r="H64" s="48" t="str">
        <x:f>IF(G64=0,"Paid",IF(TODAY()&gt;D64,"Overdue",IF(F64&gt;0,"Partial","Sent")))</x:f>
        <x:v>Paid</x:v>
      </x:c>
      <x:c r="I64" s="76" t="n">
        <x:f>IF(G64=0,0,MAX(TODAY()-C64,0))</x:f>
        <x:v>0</x:v>
      </x:c>
      <x:c r="J64" s="50"/>
      <x:c r="K64" s="72"/>
    </x:row>
    <x:row r="65">
      <x:c r="A65" s="46"/>
      <x:c r="B65" s="46"/>
      <x:c r="C65" s="50"/>
      <x:c r="D65" s="50"/>
      <x:c r="E65" s="54"/>
      <x:c r="F65" s="54"/>
      <x:c r="G65" s="56" t="n">
        <x:f>MAX(E65-F65,0)</x:f>
        <x:v>0</x:v>
      </x:c>
      <x:c r="H65" s="48" t="str">
        <x:f>IF(G65=0,"Paid",IF(TODAY()&gt;D65,"Overdue",IF(F65&gt;0,"Partial","Sent")))</x:f>
        <x:v>Paid</x:v>
      </x:c>
      <x:c r="I65" s="76" t="n">
        <x:f>IF(G65=0,0,MAX(TODAY()-C65,0))</x:f>
        <x:v>0</x:v>
      </x:c>
      <x:c r="J65" s="50"/>
      <x:c r="K65" s="72"/>
    </x:row>
    <x:row r="66">
      <x:c r="A66" s="46"/>
      <x:c r="B66" s="46"/>
      <x:c r="C66" s="50"/>
      <x:c r="D66" s="50"/>
      <x:c r="E66" s="54"/>
      <x:c r="F66" s="54"/>
      <x:c r="G66" s="56" t="n">
        <x:f>MAX(E66-F66,0)</x:f>
        <x:v>0</x:v>
      </x:c>
      <x:c r="H66" s="48" t="str">
        <x:f>IF(G66=0,"Paid",IF(TODAY()&gt;D66,"Overdue",IF(F66&gt;0,"Partial","Sent")))</x:f>
        <x:v>Paid</x:v>
      </x:c>
      <x:c r="I66" s="76" t="n">
        <x:f>IF(G66=0,0,MAX(TODAY()-C66,0))</x:f>
        <x:v>0</x:v>
      </x:c>
      <x:c r="J66" s="50"/>
      <x:c r="K66" s="72"/>
    </x:row>
    <x:row r="67">
      <x:c r="A67" s="46"/>
      <x:c r="B67" s="46"/>
      <x:c r="C67" s="50"/>
      <x:c r="D67" s="50"/>
      <x:c r="E67" s="54"/>
      <x:c r="F67" s="54"/>
      <x:c r="G67" s="56" t="n">
        <x:f>MAX(E67-F67,0)</x:f>
        <x:v>0</x:v>
      </x:c>
      <x:c r="H67" s="48" t="str">
        <x:f>IF(G67=0,"Paid",IF(TODAY()&gt;D67,"Overdue",IF(F67&gt;0,"Partial","Sent")))</x:f>
        <x:v>Paid</x:v>
      </x:c>
      <x:c r="I67" s="76" t="n">
        <x:f>IF(G67=0,0,MAX(TODAY()-C67,0))</x:f>
        <x:v>0</x:v>
      </x:c>
      <x:c r="J67" s="50"/>
      <x:c r="K67" s="72"/>
    </x:row>
    <x:row r="68">
      <x:c r="A68" s="46"/>
      <x:c r="B68" s="46"/>
      <x:c r="C68" s="50"/>
      <x:c r="D68" s="50"/>
      <x:c r="E68" s="54"/>
      <x:c r="F68" s="54"/>
      <x:c r="G68" s="56" t="n">
        <x:f>MAX(E68-F68,0)</x:f>
        <x:v>0</x:v>
      </x:c>
      <x:c r="H68" s="48" t="str">
        <x:f>IF(G68=0,"Paid",IF(TODAY()&gt;D68,"Overdue",IF(F68&gt;0,"Partial","Sent")))</x:f>
        <x:v>Paid</x:v>
      </x:c>
      <x:c r="I68" s="76" t="n">
        <x:f>IF(G68=0,0,MAX(TODAY()-C68,0))</x:f>
        <x:v>0</x:v>
      </x:c>
      <x:c r="J68" s="50"/>
      <x:c r="K68" s="72"/>
    </x:row>
    <x:row r="69">
      <x:c r="A69" s="46"/>
      <x:c r="B69" s="46"/>
      <x:c r="C69" s="50"/>
      <x:c r="D69" s="50"/>
      <x:c r="E69" s="54"/>
      <x:c r="F69" s="54"/>
      <x:c r="G69" s="56" t="n">
        <x:f>MAX(E69-F69,0)</x:f>
        <x:v>0</x:v>
      </x:c>
      <x:c r="H69" s="48" t="str">
        <x:f>IF(G69=0,"Paid",IF(TODAY()&gt;D69,"Overdue",IF(F69&gt;0,"Partial","Sent")))</x:f>
        <x:v>Paid</x:v>
      </x:c>
      <x:c r="I69" s="76" t="n">
        <x:f>IF(G69=0,0,MAX(TODAY()-C69,0))</x:f>
        <x:v>0</x:v>
      </x:c>
      <x:c r="J69" s="50"/>
      <x:c r="K69" s="72"/>
    </x:row>
    <x:row r="70">
      <x:c r="A70" s="46"/>
      <x:c r="B70" s="46"/>
      <x:c r="C70" s="50"/>
      <x:c r="D70" s="50"/>
      <x:c r="E70" s="54"/>
      <x:c r="F70" s="54"/>
      <x:c r="G70" s="56" t="n">
        <x:f>MAX(E70-F70,0)</x:f>
        <x:v>0</x:v>
      </x:c>
      <x:c r="H70" s="48" t="str">
        <x:f>IF(G70=0,"Paid",IF(TODAY()&gt;D70,"Overdue",IF(F70&gt;0,"Partial","Sent")))</x:f>
        <x:v>Paid</x:v>
      </x:c>
      <x:c r="I70" s="76" t="n">
        <x:f>IF(G70=0,0,MAX(TODAY()-C70,0))</x:f>
        <x:v>0</x:v>
      </x:c>
      <x:c r="J70" s="50"/>
      <x:c r="K70" s="72"/>
    </x:row>
    <x:row r="71">
      <x:c r="A71" s="46"/>
      <x:c r="B71" s="46"/>
      <x:c r="C71" s="50"/>
      <x:c r="D71" s="50"/>
      <x:c r="E71" s="54"/>
      <x:c r="F71" s="54"/>
      <x:c r="G71" s="56" t="n">
        <x:f>MAX(E71-F71,0)</x:f>
        <x:v>0</x:v>
      </x:c>
      <x:c r="H71" s="48" t="str">
        <x:f>IF(G71=0,"Paid",IF(TODAY()&gt;D71,"Overdue",IF(F71&gt;0,"Partial","Sent")))</x:f>
        <x:v>Paid</x:v>
      </x:c>
      <x:c r="I71" s="76" t="n">
        <x:f>IF(G71=0,0,MAX(TODAY()-C71,0))</x:f>
        <x:v>0</x:v>
      </x:c>
      <x:c r="J71" s="50"/>
      <x:c r="K71" s="72"/>
    </x:row>
    <x:row r="72">
      <x:c r="A72" s="46"/>
      <x:c r="B72" s="46"/>
      <x:c r="C72" s="50"/>
      <x:c r="D72" s="50"/>
      <x:c r="E72" s="54"/>
      <x:c r="F72" s="54"/>
      <x:c r="G72" s="56" t="n">
        <x:f>MAX(E72-F72,0)</x:f>
        <x:v>0</x:v>
      </x:c>
      <x:c r="H72" s="48" t="str">
        <x:f>IF(G72=0,"Paid",IF(TODAY()&gt;D72,"Overdue",IF(F72&gt;0,"Partial","Sent")))</x:f>
        <x:v>Paid</x:v>
      </x:c>
      <x:c r="I72" s="76" t="n">
        <x:f>IF(G72=0,0,MAX(TODAY()-C72,0))</x:f>
        <x:v>0</x:v>
      </x:c>
      <x:c r="J72" s="50"/>
      <x:c r="K72" s="72"/>
    </x:row>
    <x:row r="73">
      <x:c r="A73" s="46"/>
      <x:c r="B73" s="46"/>
      <x:c r="C73" s="50"/>
      <x:c r="D73" s="50"/>
      <x:c r="E73" s="54"/>
      <x:c r="F73" s="54"/>
      <x:c r="G73" s="56" t="n">
        <x:f>MAX(E73-F73,0)</x:f>
        <x:v>0</x:v>
      </x:c>
      <x:c r="H73" s="48" t="str">
        <x:f>IF(G73=0,"Paid",IF(TODAY()&gt;D73,"Overdue",IF(F73&gt;0,"Partial","Sent")))</x:f>
        <x:v>Paid</x:v>
      </x:c>
      <x:c r="I73" s="76" t="n">
        <x:f>IF(G73=0,0,MAX(TODAY()-C73,0))</x:f>
        <x:v>0</x:v>
      </x:c>
      <x:c r="J73" s="50"/>
      <x:c r="K73" s="72"/>
    </x:row>
    <x:row r="74">
      <x:c r="A74" s="46"/>
      <x:c r="B74" s="46"/>
      <x:c r="C74" s="50"/>
      <x:c r="D74" s="50"/>
      <x:c r="E74" s="54"/>
      <x:c r="F74" s="54"/>
      <x:c r="G74" s="56" t="n">
        <x:f>MAX(E74-F74,0)</x:f>
        <x:v>0</x:v>
      </x:c>
      <x:c r="H74" s="48" t="str">
        <x:f>IF(G74=0,"Paid",IF(TODAY()&gt;D74,"Overdue",IF(F74&gt;0,"Partial","Sent")))</x:f>
        <x:v>Paid</x:v>
      </x:c>
      <x:c r="I74" s="76" t="n">
        <x:f>IF(G74=0,0,MAX(TODAY()-C74,0))</x:f>
        <x:v>0</x:v>
      </x:c>
      <x:c r="J74" s="50"/>
      <x:c r="K74" s="72"/>
    </x:row>
    <x:row r="75">
      <x:c r="A75" s="46"/>
      <x:c r="B75" s="46"/>
      <x:c r="C75" s="50"/>
      <x:c r="D75" s="50"/>
      <x:c r="E75" s="54"/>
      <x:c r="F75" s="54"/>
      <x:c r="G75" s="56" t="n">
        <x:f>MAX(E75-F75,0)</x:f>
        <x:v>0</x:v>
      </x:c>
      <x:c r="H75" s="48" t="str">
        <x:f>IF(G75=0,"Paid",IF(TODAY()&gt;D75,"Overdue",IF(F75&gt;0,"Partial","Sent")))</x:f>
        <x:v>Paid</x:v>
      </x:c>
      <x:c r="I75" s="76" t="n">
        <x:f>IF(G75=0,0,MAX(TODAY()-C75,0))</x:f>
        <x:v>0</x:v>
      </x:c>
      <x:c r="J75" s="50"/>
      <x:c r="K75" s="72"/>
    </x:row>
    <x:row r="76">
      <x:c r="A76" s="46"/>
      <x:c r="B76" s="46"/>
      <x:c r="C76" s="50"/>
      <x:c r="D76" s="50"/>
      <x:c r="E76" s="54"/>
      <x:c r="F76" s="54"/>
      <x:c r="G76" s="56" t="n">
        <x:f>MAX(E76-F76,0)</x:f>
        <x:v>0</x:v>
      </x:c>
      <x:c r="H76" s="48" t="str">
        <x:f>IF(G76=0,"Paid",IF(TODAY()&gt;D76,"Overdue",IF(F76&gt;0,"Partial","Sent")))</x:f>
        <x:v>Paid</x:v>
      </x:c>
      <x:c r="I76" s="76" t="n">
        <x:f>IF(G76=0,0,MAX(TODAY()-C76,0))</x:f>
        <x:v>0</x:v>
      </x:c>
      <x:c r="J76" s="50"/>
      <x:c r="K76" s="72"/>
    </x:row>
    <x:row r="77">
      <x:c r="A77" s="46"/>
      <x:c r="B77" s="46"/>
      <x:c r="C77" s="50"/>
      <x:c r="D77" s="50"/>
      <x:c r="E77" s="54"/>
      <x:c r="F77" s="54"/>
      <x:c r="G77" s="56" t="n">
        <x:f>MAX(E77-F77,0)</x:f>
        <x:v>0</x:v>
      </x:c>
      <x:c r="H77" s="48" t="str">
        <x:f>IF(G77=0,"Paid",IF(TODAY()&gt;D77,"Overdue",IF(F77&gt;0,"Partial","Sent")))</x:f>
        <x:v>Paid</x:v>
      </x:c>
      <x:c r="I77" s="76" t="n">
        <x:f>IF(G77=0,0,MAX(TODAY()-C77,0))</x:f>
        <x:v>0</x:v>
      </x:c>
      <x:c r="J77" s="50"/>
      <x:c r="K77" s="72"/>
    </x:row>
    <x:row r="78">
      <x:c r="A78" s="46"/>
      <x:c r="B78" s="46"/>
      <x:c r="C78" s="50"/>
      <x:c r="D78" s="50"/>
      <x:c r="E78" s="54"/>
      <x:c r="F78" s="54"/>
      <x:c r="G78" s="56" t="n">
        <x:f>MAX(E78-F78,0)</x:f>
        <x:v>0</x:v>
      </x:c>
      <x:c r="H78" s="48" t="str">
        <x:f>IF(G78=0,"Paid",IF(TODAY()&gt;D78,"Overdue",IF(F78&gt;0,"Partial","Sent")))</x:f>
        <x:v>Paid</x:v>
      </x:c>
      <x:c r="I78" s="76" t="n">
        <x:f>IF(G78=0,0,MAX(TODAY()-C78,0))</x:f>
        <x:v>0</x:v>
      </x:c>
      <x:c r="J78" s="50"/>
      <x:c r="K78" s="72"/>
    </x:row>
    <x:row r="79">
      <x:c r="A79" s="46"/>
      <x:c r="B79" s="46"/>
      <x:c r="C79" s="50"/>
      <x:c r="D79" s="50"/>
      <x:c r="E79" s="54"/>
      <x:c r="F79" s="54"/>
      <x:c r="G79" s="56" t="n">
        <x:f>MAX(E79-F79,0)</x:f>
        <x:v>0</x:v>
      </x:c>
      <x:c r="H79" s="48" t="str">
        <x:f>IF(G79=0,"Paid",IF(TODAY()&gt;D79,"Overdue",IF(F79&gt;0,"Partial","Sent")))</x:f>
        <x:v>Paid</x:v>
      </x:c>
      <x:c r="I79" s="76" t="n">
        <x:f>IF(G79=0,0,MAX(TODAY()-C79,0))</x:f>
        <x:v>0</x:v>
      </x:c>
      <x:c r="J79" s="50"/>
      <x:c r="K79" s="72"/>
    </x:row>
    <x:row r="80">
      <x:c r="A80" s="46"/>
      <x:c r="B80" s="46"/>
      <x:c r="C80" s="50"/>
      <x:c r="D80" s="50"/>
      <x:c r="E80" s="54"/>
      <x:c r="F80" s="54"/>
      <x:c r="G80" s="56" t="n">
        <x:f>MAX(E80-F80,0)</x:f>
        <x:v>0</x:v>
      </x:c>
      <x:c r="H80" s="48" t="str">
        <x:f>IF(G80=0,"Paid",IF(TODAY()&gt;D80,"Overdue",IF(F80&gt;0,"Partial","Sent")))</x:f>
        <x:v>Paid</x:v>
      </x:c>
      <x:c r="I80" s="76" t="n">
        <x:f>IF(G80=0,0,MAX(TODAY()-C80,0))</x:f>
        <x:v>0</x:v>
      </x:c>
      <x:c r="J80" s="50"/>
      <x:c r="K80" s="72"/>
    </x:row>
    <x:row r="81">
      <x:c r="A81" s="46"/>
      <x:c r="B81" s="46"/>
      <x:c r="C81" s="50"/>
      <x:c r="D81" s="50"/>
      <x:c r="E81" s="54"/>
      <x:c r="F81" s="54"/>
      <x:c r="G81" s="56" t="n">
        <x:f>MAX(E81-F81,0)</x:f>
        <x:v>0</x:v>
      </x:c>
      <x:c r="H81" s="48" t="str">
        <x:f>IF(G81=0,"Paid",IF(TODAY()&gt;D81,"Overdue",IF(F81&gt;0,"Partial","Sent")))</x:f>
        <x:v>Paid</x:v>
      </x:c>
      <x:c r="I81" s="76" t="n">
        <x:f>IF(G81=0,0,MAX(TODAY()-C81,0))</x:f>
        <x:v>0</x:v>
      </x:c>
      <x:c r="J81" s="50"/>
      <x:c r="K81" s="72"/>
    </x:row>
    <x:row r="82">
      <x:c r="A82" s="46"/>
      <x:c r="B82" s="46"/>
      <x:c r="C82" s="50"/>
      <x:c r="D82" s="50"/>
      <x:c r="E82" s="54"/>
      <x:c r="F82" s="54"/>
      <x:c r="G82" s="56" t="n">
        <x:f>MAX(E82-F82,0)</x:f>
        <x:v>0</x:v>
      </x:c>
      <x:c r="H82" s="48" t="str">
        <x:f>IF(G82=0,"Paid",IF(TODAY()&gt;D82,"Overdue",IF(F82&gt;0,"Partial","Sent")))</x:f>
        <x:v>Paid</x:v>
      </x:c>
      <x:c r="I82" s="76" t="n">
        <x:f>IF(G82=0,0,MAX(TODAY()-C82,0))</x:f>
        <x:v>0</x:v>
      </x:c>
      <x:c r="J82" s="50"/>
      <x:c r="K82" s="72"/>
    </x:row>
    <x:row r="83">
      <x:c r="A83" s="46"/>
      <x:c r="B83" s="46"/>
      <x:c r="C83" s="50"/>
      <x:c r="D83" s="50"/>
      <x:c r="E83" s="54"/>
      <x:c r="F83" s="54"/>
      <x:c r="G83" s="56" t="n">
        <x:f>MAX(E83-F83,0)</x:f>
        <x:v>0</x:v>
      </x:c>
      <x:c r="H83" s="48" t="str">
        <x:f>IF(G83=0,"Paid",IF(TODAY()&gt;D83,"Overdue",IF(F83&gt;0,"Partial","Sent")))</x:f>
        <x:v>Paid</x:v>
      </x:c>
      <x:c r="I83" s="76" t="n">
        <x:f>IF(G83=0,0,MAX(TODAY()-C83,0))</x:f>
        <x:v>0</x:v>
      </x:c>
      <x:c r="J83" s="50"/>
      <x:c r="K83" s="72"/>
    </x:row>
    <x:row r="84">
      <x:c r="A84" s="46"/>
      <x:c r="B84" s="46"/>
      <x:c r="C84" s="50"/>
      <x:c r="D84" s="50"/>
      <x:c r="E84" s="54"/>
      <x:c r="F84" s="54"/>
      <x:c r="G84" s="56" t="n">
        <x:f>MAX(E84-F84,0)</x:f>
        <x:v>0</x:v>
      </x:c>
      <x:c r="H84" s="48" t="str">
        <x:f>IF(G84=0,"Paid",IF(TODAY()&gt;D84,"Overdue",IF(F84&gt;0,"Partial","Sent")))</x:f>
        <x:v>Paid</x:v>
      </x:c>
      <x:c r="I84" s="76" t="n">
        <x:f>IF(G84=0,0,MAX(TODAY()-C84,0))</x:f>
        <x:v>0</x:v>
      </x:c>
      <x:c r="J84" s="50"/>
      <x:c r="K84" s="72"/>
    </x:row>
    <x:row r="85">
      <x:c r="A85" s="46"/>
      <x:c r="B85" s="46"/>
      <x:c r="C85" s="50"/>
      <x:c r="D85" s="50"/>
      <x:c r="E85" s="54"/>
      <x:c r="F85" s="54"/>
      <x:c r="G85" s="56" t="n">
        <x:f>MAX(E85-F85,0)</x:f>
        <x:v>0</x:v>
      </x:c>
      <x:c r="H85" s="48" t="str">
        <x:f>IF(G85=0,"Paid",IF(TODAY()&gt;D85,"Overdue",IF(F85&gt;0,"Partial","Sent")))</x:f>
        <x:v>Paid</x:v>
      </x:c>
      <x:c r="I85" s="76" t="n">
        <x:f>IF(G85=0,0,MAX(TODAY()-C85,0))</x:f>
        <x:v>0</x:v>
      </x:c>
      <x:c r="J85" s="50"/>
      <x:c r="K85" s="72"/>
    </x:row>
    <x:row r="86">
      <x:c r="A86" s="46"/>
      <x:c r="B86" s="46"/>
      <x:c r="C86" s="50"/>
      <x:c r="D86" s="50"/>
      <x:c r="E86" s="54"/>
      <x:c r="F86" s="54"/>
      <x:c r="G86" s="56" t="n">
        <x:f>MAX(E86-F86,0)</x:f>
        <x:v>0</x:v>
      </x:c>
      <x:c r="H86" s="48" t="str">
        <x:f>IF(G86=0,"Paid",IF(TODAY()&gt;D86,"Overdue",IF(F86&gt;0,"Partial","Sent")))</x:f>
        <x:v>Paid</x:v>
      </x:c>
      <x:c r="I86" s="76" t="n">
        <x:f>IF(G86=0,0,MAX(TODAY()-C86,0))</x:f>
        <x:v>0</x:v>
      </x:c>
      <x:c r="J86" s="50"/>
      <x:c r="K86" s="72"/>
    </x:row>
    <x:row r="87">
      <x:c r="A87" s="46"/>
      <x:c r="B87" s="46"/>
      <x:c r="C87" s="50"/>
      <x:c r="D87" s="50"/>
      <x:c r="E87" s="54"/>
      <x:c r="F87" s="54"/>
      <x:c r="G87" s="56" t="n">
        <x:f>MAX(E87-F87,0)</x:f>
        <x:v>0</x:v>
      </x:c>
      <x:c r="H87" s="48" t="str">
        <x:f>IF(G87=0,"Paid",IF(TODAY()&gt;D87,"Overdue",IF(F87&gt;0,"Partial","Sent")))</x:f>
        <x:v>Paid</x:v>
      </x:c>
      <x:c r="I87" s="76" t="n">
        <x:f>IF(G87=0,0,MAX(TODAY()-C87,0))</x:f>
        <x:v>0</x:v>
      </x:c>
      <x:c r="J87" s="50"/>
      <x:c r="K87" s="72"/>
    </x:row>
    <x:row r="88">
      <x:c r="A88" s="46"/>
      <x:c r="B88" s="46"/>
      <x:c r="C88" s="50"/>
      <x:c r="D88" s="50"/>
      <x:c r="E88" s="54"/>
      <x:c r="F88" s="54"/>
      <x:c r="G88" s="56" t="n">
        <x:f>MAX(E88-F88,0)</x:f>
        <x:v>0</x:v>
      </x:c>
      <x:c r="H88" s="48" t="str">
        <x:f>IF(G88=0,"Paid",IF(TODAY()&gt;D88,"Overdue",IF(F88&gt;0,"Partial","Sent")))</x:f>
        <x:v>Paid</x:v>
      </x:c>
      <x:c r="I88" s="76" t="n">
        <x:f>IF(G88=0,0,MAX(TODAY()-C88,0))</x:f>
        <x:v>0</x:v>
      </x:c>
      <x:c r="J88" s="50"/>
      <x:c r="K88" s="72"/>
    </x:row>
    <x:row r="89">
      <x:c r="A89" s="46"/>
      <x:c r="B89" s="46"/>
      <x:c r="C89" s="50"/>
      <x:c r="D89" s="50"/>
      <x:c r="E89" s="54"/>
      <x:c r="F89" s="54"/>
      <x:c r="G89" s="56" t="n">
        <x:f>MAX(E89-F89,0)</x:f>
        <x:v>0</x:v>
      </x:c>
      <x:c r="H89" s="48" t="str">
        <x:f>IF(G89=0,"Paid",IF(TODAY()&gt;D89,"Overdue",IF(F89&gt;0,"Partial","Sent")))</x:f>
        <x:v>Paid</x:v>
      </x:c>
      <x:c r="I89" s="76" t="n">
        <x:f>IF(G89=0,0,MAX(TODAY()-C89,0))</x:f>
        <x:v>0</x:v>
      </x:c>
      <x:c r="J89" s="50"/>
      <x:c r="K89" s="72"/>
    </x:row>
    <x:row r="90">
      <x:c r="A90" s="46"/>
      <x:c r="B90" s="46"/>
      <x:c r="C90" s="50"/>
      <x:c r="D90" s="50"/>
      <x:c r="E90" s="54"/>
      <x:c r="F90" s="54"/>
      <x:c r="G90" s="56" t="n">
        <x:f>MAX(E90-F90,0)</x:f>
        <x:v>0</x:v>
      </x:c>
      <x:c r="H90" s="48" t="str">
        <x:f>IF(G90=0,"Paid",IF(TODAY()&gt;D90,"Overdue",IF(F90&gt;0,"Partial","Sent")))</x:f>
        <x:v>Paid</x:v>
      </x:c>
      <x:c r="I90" s="76" t="n">
        <x:f>IF(G90=0,0,MAX(TODAY()-C90,0))</x:f>
        <x:v>0</x:v>
      </x:c>
      <x:c r="J90" s="50"/>
      <x:c r="K90" s="72"/>
    </x:row>
    <x:row r="91">
      <x:c r="A91" s="46"/>
      <x:c r="B91" s="46"/>
      <x:c r="C91" s="50"/>
      <x:c r="D91" s="50"/>
      <x:c r="E91" s="54"/>
      <x:c r="F91" s="54"/>
      <x:c r="G91" s="56" t="n">
        <x:f>MAX(E91-F91,0)</x:f>
        <x:v>0</x:v>
      </x:c>
      <x:c r="H91" s="48" t="str">
        <x:f>IF(G91=0,"Paid",IF(TODAY()&gt;D91,"Overdue",IF(F91&gt;0,"Partial","Sent")))</x:f>
        <x:v>Paid</x:v>
      </x:c>
      <x:c r="I91" s="76" t="n">
        <x:f>IF(G91=0,0,MAX(TODAY()-C91,0))</x:f>
        <x:v>0</x:v>
      </x:c>
      <x:c r="J91" s="50"/>
      <x:c r="K91" s="72"/>
    </x:row>
    <x:row r="92">
      <x:c r="A92" s="46"/>
      <x:c r="B92" s="46"/>
      <x:c r="C92" s="50"/>
      <x:c r="D92" s="50"/>
      <x:c r="E92" s="54"/>
      <x:c r="F92" s="54"/>
      <x:c r="G92" s="56" t="n">
        <x:f>MAX(E92-F92,0)</x:f>
        <x:v>0</x:v>
      </x:c>
      <x:c r="H92" s="48" t="str">
        <x:f>IF(G92=0,"Paid",IF(TODAY()&gt;D92,"Overdue",IF(F92&gt;0,"Partial","Sent")))</x:f>
        <x:v>Paid</x:v>
      </x:c>
      <x:c r="I92" s="76" t="n">
        <x:f>IF(G92=0,0,MAX(TODAY()-C92,0))</x:f>
        <x:v>0</x:v>
      </x:c>
      <x:c r="J92" s="50"/>
      <x:c r="K92" s="72"/>
    </x:row>
    <x:row r="93">
      <x:c r="A93" s="46"/>
      <x:c r="B93" s="46"/>
      <x:c r="C93" s="50"/>
      <x:c r="D93" s="50"/>
      <x:c r="E93" s="54"/>
      <x:c r="F93" s="54"/>
      <x:c r="G93" s="56" t="n">
        <x:f>MAX(E93-F93,0)</x:f>
        <x:v>0</x:v>
      </x:c>
      <x:c r="H93" s="48" t="str">
        <x:f>IF(G93=0,"Paid",IF(TODAY()&gt;D93,"Overdue",IF(F93&gt;0,"Partial","Sent")))</x:f>
        <x:v>Paid</x:v>
      </x:c>
      <x:c r="I93" s="76" t="n">
        <x:f>IF(G93=0,0,MAX(TODAY()-C93,0))</x:f>
        <x:v>0</x:v>
      </x:c>
      <x:c r="J93" s="50"/>
      <x:c r="K93" s="72"/>
    </x:row>
    <x:row r="94">
      <x:c r="A94" s="46"/>
      <x:c r="B94" s="46"/>
      <x:c r="C94" s="50"/>
      <x:c r="D94" s="50"/>
      <x:c r="E94" s="54"/>
      <x:c r="F94" s="54"/>
      <x:c r="G94" s="56" t="n">
        <x:f>MAX(E94-F94,0)</x:f>
        <x:v>0</x:v>
      </x:c>
      <x:c r="H94" s="48" t="str">
        <x:f>IF(G94=0,"Paid",IF(TODAY()&gt;D94,"Overdue",IF(F94&gt;0,"Partial","Sent")))</x:f>
        <x:v>Paid</x:v>
      </x:c>
      <x:c r="I94" s="76" t="n">
        <x:f>IF(G94=0,0,MAX(TODAY()-C94,0))</x:f>
        <x:v>0</x:v>
      </x:c>
      <x:c r="J94" s="50"/>
      <x:c r="K94" s="72"/>
    </x:row>
    <x:row r="95">
      <x:c r="A95" s="46"/>
      <x:c r="B95" s="46"/>
      <x:c r="C95" s="50"/>
      <x:c r="D95" s="50"/>
      <x:c r="E95" s="54"/>
      <x:c r="F95" s="54"/>
      <x:c r="G95" s="56" t="n">
        <x:f>MAX(E95-F95,0)</x:f>
        <x:v>0</x:v>
      </x:c>
      <x:c r="H95" s="48" t="str">
        <x:f>IF(G95=0,"Paid",IF(TODAY()&gt;D95,"Overdue",IF(F95&gt;0,"Partial","Sent")))</x:f>
        <x:v>Paid</x:v>
      </x:c>
      <x:c r="I95" s="76" t="n">
        <x:f>IF(G95=0,0,MAX(TODAY()-C95,0))</x:f>
        <x:v>0</x:v>
      </x:c>
      <x:c r="J95" s="50"/>
      <x:c r="K95" s="72"/>
    </x:row>
    <x:row r="96">
      <x:c r="A96" s="46"/>
      <x:c r="B96" s="46"/>
      <x:c r="C96" s="50"/>
      <x:c r="D96" s="50"/>
      <x:c r="E96" s="54"/>
      <x:c r="F96" s="54"/>
      <x:c r="G96" s="56" t="n">
        <x:f>MAX(E96-F96,0)</x:f>
        <x:v>0</x:v>
      </x:c>
      <x:c r="H96" s="48" t="str">
        <x:f>IF(G96=0,"Paid",IF(TODAY()&gt;D96,"Overdue",IF(F96&gt;0,"Partial","Sent")))</x:f>
        <x:v>Paid</x:v>
      </x:c>
      <x:c r="I96" s="76" t="n">
        <x:f>IF(G96=0,0,MAX(TODAY()-C96,0))</x:f>
        <x:v>0</x:v>
      </x:c>
      <x:c r="J96" s="50"/>
      <x:c r="K96" s="72"/>
    </x:row>
    <x:row r="97">
      <x:c r="A97" s="46"/>
      <x:c r="B97" s="46"/>
      <x:c r="C97" s="50"/>
      <x:c r="D97" s="50"/>
      <x:c r="E97" s="54"/>
      <x:c r="F97" s="54"/>
      <x:c r="G97" s="56" t="n">
        <x:f>MAX(E97-F97,0)</x:f>
        <x:v>0</x:v>
      </x:c>
      <x:c r="H97" s="48" t="str">
        <x:f>IF(G97=0,"Paid",IF(TODAY()&gt;D97,"Overdue",IF(F97&gt;0,"Partial","Sent")))</x:f>
        <x:v>Paid</x:v>
      </x:c>
      <x:c r="I97" s="76" t="n">
        <x:f>IF(G97=0,0,MAX(TODAY()-C97,0))</x:f>
        <x:v>0</x:v>
      </x:c>
      <x:c r="J97" s="50"/>
      <x:c r="K97" s="72"/>
    </x:row>
    <x:row r="98">
      <x:c r="A98" s="46"/>
      <x:c r="B98" s="46"/>
      <x:c r="C98" s="50"/>
      <x:c r="D98" s="50"/>
      <x:c r="E98" s="54"/>
      <x:c r="F98" s="54"/>
      <x:c r="G98" s="56" t="n">
        <x:f>MAX(E98-F98,0)</x:f>
        <x:v>0</x:v>
      </x:c>
      <x:c r="H98" s="48" t="str">
        <x:f>IF(G98=0,"Paid",IF(TODAY()&gt;D98,"Overdue",IF(F98&gt;0,"Partial","Sent")))</x:f>
        <x:v>Paid</x:v>
      </x:c>
      <x:c r="I98" s="76" t="n">
        <x:f>IF(G98=0,0,MAX(TODAY()-C98,0))</x:f>
        <x:v>0</x:v>
      </x:c>
      <x:c r="J98" s="50"/>
      <x:c r="K98" s="72"/>
    </x:row>
    <x:row r="99">
      <x:c r="A99" s="46"/>
      <x:c r="B99" s="46"/>
      <x:c r="C99" s="50"/>
      <x:c r="D99" s="50"/>
      <x:c r="E99" s="54"/>
      <x:c r="F99" s="54"/>
      <x:c r="G99" s="56" t="n">
        <x:f>MAX(E99-F99,0)</x:f>
        <x:v>0</x:v>
      </x:c>
      <x:c r="H99" s="48" t="str">
        <x:f>IF(G99=0,"Paid",IF(TODAY()&gt;D99,"Overdue",IF(F99&gt;0,"Partial","Sent")))</x:f>
        <x:v>Paid</x:v>
      </x:c>
      <x:c r="I99" s="76" t="n">
        <x:f>IF(G99=0,0,MAX(TODAY()-C99,0))</x:f>
        <x:v>0</x:v>
      </x:c>
      <x:c r="J99" s="50"/>
      <x:c r="K99" s="72"/>
    </x:row>
    <x:row r="100">
      <x:c r="A100" s="46"/>
      <x:c r="B100" s="46"/>
      <x:c r="C100" s="50"/>
      <x:c r="D100" s="50"/>
      <x:c r="E100" s="54"/>
      <x:c r="F100" s="54"/>
      <x:c r="G100" s="56" t="n">
        <x:f>MAX(E100-F100,0)</x:f>
        <x:v>0</x:v>
      </x:c>
      <x:c r="H100" s="48" t="str">
        <x:f>IF(G100=0,"Paid",IF(TODAY()&gt;D100,"Overdue",IF(F100&gt;0,"Partial","Sent")))</x:f>
        <x:v>Paid</x:v>
      </x:c>
      <x:c r="I100" s="76" t="n">
        <x:f>IF(G100=0,0,MAX(TODAY()-C100,0))</x:f>
        <x:v>0</x:v>
      </x:c>
      <x:c r="J100" s="50"/>
      <x:c r="K100" s="72"/>
    </x:row>
    <x:row r="101">
      <x:c r="A101" s="46"/>
      <x:c r="B101" s="46"/>
      <x:c r="C101" s="50"/>
      <x:c r="D101" s="50"/>
      <x:c r="E101" s="54"/>
      <x:c r="F101" s="54"/>
      <x:c r="G101" s="56" t="n">
        <x:f>MAX(E101-F101,0)</x:f>
        <x:v>0</x:v>
      </x:c>
      <x:c r="H101" s="48" t="str">
        <x:f>IF(G101=0,"Paid",IF(TODAY()&gt;D101,"Overdue",IF(F101&gt;0,"Partial","Sent")))</x:f>
        <x:v>Paid</x:v>
      </x:c>
      <x:c r="I101" s="76" t="n">
        <x:f>IF(G101=0,0,MAX(TODAY()-C101,0))</x:f>
        <x:v>0</x:v>
      </x:c>
      <x:c r="J101" s="50"/>
      <x:c r="K101" s="72"/>
    </x:row>
    <x:row r="102">
      <x:c r="A102" s="46"/>
      <x:c r="B102" s="46"/>
      <x:c r="C102" s="50"/>
      <x:c r="D102" s="50"/>
      <x:c r="E102" s="54"/>
      <x:c r="F102" s="54"/>
      <x:c r="G102" s="56" t="n">
        <x:f>MAX(E102-F102,0)</x:f>
        <x:v>0</x:v>
      </x:c>
      <x:c r="H102" s="48" t="str">
        <x:f>IF(G102=0,"Paid",IF(TODAY()&gt;D102,"Overdue",IF(F102&gt;0,"Partial","Sent")))</x:f>
        <x:v>Paid</x:v>
      </x:c>
      <x:c r="I102" s="76" t="n">
        <x:f>IF(G102=0,0,MAX(TODAY()-C102,0))</x:f>
        <x:v>0</x:v>
      </x:c>
      <x:c r="J102" s="50"/>
      <x:c r="K102" s="72"/>
    </x:row>
    <x:row r="103">
      <x:c r="A103" s="46"/>
      <x:c r="B103" s="46"/>
      <x:c r="C103" s="50"/>
      <x:c r="D103" s="50"/>
      <x:c r="E103" s="54"/>
      <x:c r="F103" s="54"/>
      <x:c r="G103" s="56" t="n">
        <x:f>MAX(E103-F103,0)</x:f>
        <x:v>0</x:v>
      </x:c>
      <x:c r="H103" s="48" t="str">
        <x:f>IF(G103=0,"Paid",IF(TODAY()&gt;D103,"Overdue",IF(F103&gt;0,"Partial","Sent")))</x:f>
        <x:v>Paid</x:v>
      </x:c>
      <x:c r="I103" s="76" t="n">
        <x:f>IF(G103=0,0,MAX(TODAY()-C103,0))</x:f>
        <x:v>0</x:v>
      </x:c>
      <x:c r="J103" s="50"/>
      <x:c r="K103" s="72"/>
    </x:row>
    <x:row r="104">
      <x:c r="A104" s="46"/>
      <x:c r="B104" s="46"/>
      <x:c r="C104" s="50"/>
      <x:c r="D104" s="50"/>
      <x:c r="E104" s="54"/>
      <x:c r="F104" s="54"/>
      <x:c r="G104" s="56" t="n">
        <x:f>MAX(E104-F104,0)</x:f>
        <x:v>0</x:v>
      </x:c>
      <x:c r="H104" s="48" t="str">
        <x:f>IF(G104=0,"Paid",IF(TODAY()&gt;D104,"Overdue",IF(F104&gt;0,"Partial","Sent")))</x:f>
        <x:v>Paid</x:v>
      </x:c>
      <x:c r="I104" s="76" t="n">
        <x:f>IF(G104=0,0,MAX(TODAY()-C104,0))</x:f>
        <x:v>0</x:v>
      </x:c>
      <x:c r="J104" s="50"/>
      <x:c r="K104" s="72"/>
    </x:row>
    <x:row r="105">
      <x:c r="A105" s="46"/>
      <x:c r="B105" s="46"/>
      <x:c r="C105" s="50"/>
      <x:c r="D105" s="50"/>
      <x:c r="E105" s="54"/>
      <x:c r="F105" s="54"/>
      <x:c r="G105" s="56" t="n">
        <x:f>MAX(E105-F105,0)</x:f>
        <x:v>0</x:v>
      </x:c>
      <x:c r="H105" s="48" t="str">
        <x:f>IF(G105=0,"Paid",IF(TODAY()&gt;D105,"Overdue",IF(F105&gt;0,"Partial","Sent")))</x:f>
        <x:v>Paid</x:v>
      </x:c>
      <x:c r="I105" s="76" t="n">
        <x:f>IF(G105=0,0,MAX(TODAY()-C105,0))</x:f>
        <x:v>0</x:v>
      </x:c>
      <x:c r="J105" s="50"/>
      <x:c r="K105" s="72"/>
    </x:row>
    <x:row r="106">
      <x:c r="A106" s="46"/>
      <x:c r="B106" s="46"/>
      <x:c r="C106" s="50"/>
      <x:c r="D106" s="50"/>
      <x:c r="E106" s="54"/>
      <x:c r="F106" s="54"/>
      <x:c r="G106" s="56" t="n">
        <x:f>MAX(E106-F106,0)</x:f>
        <x:v>0</x:v>
      </x:c>
      <x:c r="H106" s="48" t="str">
        <x:f>IF(G106=0,"Paid",IF(TODAY()&gt;D106,"Overdue",IF(F106&gt;0,"Partial","Sent")))</x:f>
        <x:v>Paid</x:v>
      </x:c>
      <x:c r="I106" s="76" t="n">
        <x:f>IF(G106=0,0,MAX(TODAY()-C106,0))</x:f>
        <x:v>0</x:v>
      </x:c>
      <x:c r="J106" s="50"/>
      <x:c r="K106" s="72"/>
    </x:row>
    <x:row r="107">
      <x:c r="A107" s="46"/>
      <x:c r="B107" s="46"/>
      <x:c r="C107" s="50"/>
      <x:c r="D107" s="50"/>
      <x:c r="E107" s="54"/>
      <x:c r="F107" s="54"/>
      <x:c r="G107" s="56" t="n">
        <x:f>MAX(E107-F107,0)</x:f>
        <x:v>0</x:v>
      </x:c>
      <x:c r="H107" s="48" t="str">
        <x:f>IF(G107=0,"Paid",IF(TODAY()&gt;D107,"Overdue",IF(F107&gt;0,"Partial","Sent")))</x:f>
        <x:v>Paid</x:v>
      </x:c>
      <x:c r="I107" s="76" t="n">
        <x:f>IF(G107=0,0,MAX(TODAY()-C107,0))</x:f>
        <x:v>0</x:v>
      </x:c>
      <x:c r="J107" s="50"/>
      <x:c r="K107" s="72"/>
    </x:row>
    <x:row r="108">
      <x:c r="A108" s="46"/>
      <x:c r="B108" s="46"/>
      <x:c r="C108" s="50"/>
      <x:c r="D108" s="50"/>
      <x:c r="E108" s="54"/>
      <x:c r="F108" s="54"/>
      <x:c r="G108" s="56" t="n">
        <x:f>MAX(E108-F108,0)</x:f>
        <x:v>0</x:v>
      </x:c>
      <x:c r="H108" s="48" t="str">
        <x:f>IF(G108=0,"Paid",IF(TODAY()&gt;D108,"Overdue",IF(F108&gt;0,"Partial","Sent")))</x:f>
        <x:v>Paid</x:v>
      </x:c>
      <x:c r="I108" s="76" t="n">
        <x:f>IF(G108=0,0,MAX(TODAY()-C108,0))</x:f>
        <x:v>0</x:v>
      </x:c>
      <x:c r="J108" s="50"/>
      <x:c r="K108" s="72"/>
    </x:row>
    <x:row r="109">
      <x:c r="A109" s="46"/>
      <x:c r="B109" s="46"/>
      <x:c r="C109" s="50"/>
      <x:c r="D109" s="50"/>
      <x:c r="E109" s="54"/>
      <x:c r="F109" s="54"/>
      <x:c r="G109" s="56" t="n">
        <x:f>MAX(E109-F109,0)</x:f>
        <x:v>0</x:v>
      </x:c>
      <x:c r="H109" s="48" t="str">
        <x:f>IF(G109=0,"Paid",IF(TODAY()&gt;D109,"Overdue",IF(F109&gt;0,"Partial","Sent")))</x:f>
        <x:v>Paid</x:v>
      </x:c>
      <x:c r="I109" s="76" t="n">
        <x:f>IF(G109=0,0,MAX(TODAY()-C109,0))</x:f>
        <x:v>0</x:v>
      </x:c>
      <x:c r="J109" s="50"/>
      <x:c r="K109" s="72"/>
    </x:row>
    <x:row r="110">
      <x:c r="A110" s="46"/>
      <x:c r="B110" s="46"/>
      <x:c r="C110" s="50"/>
      <x:c r="D110" s="50"/>
      <x:c r="E110" s="54"/>
      <x:c r="F110" s="54"/>
      <x:c r="G110" s="56" t="n">
        <x:f>MAX(E110-F110,0)</x:f>
        <x:v>0</x:v>
      </x:c>
      <x:c r="H110" s="48" t="str">
        <x:f>IF(G110=0,"Paid",IF(TODAY()&gt;D110,"Overdue",IF(F110&gt;0,"Partial","Sent")))</x:f>
        <x:v>Paid</x:v>
      </x:c>
      <x:c r="I110" s="76" t="n">
        <x:f>IF(G110=0,0,MAX(TODAY()-C110,0))</x:f>
        <x:v>0</x:v>
      </x:c>
      <x:c r="J110" s="50"/>
      <x:c r="K110" s="72"/>
    </x:row>
    <x:row r="111">
      <x:c r="A111" s="46"/>
      <x:c r="B111" s="46"/>
      <x:c r="C111" s="50"/>
      <x:c r="D111" s="50"/>
      <x:c r="E111" s="54"/>
      <x:c r="F111" s="54"/>
      <x:c r="G111" s="56" t="n">
        <x:f>MAX(E111-F111,0)</x:f>
        <x:v>0</x:v>
      </x:c>
      <x:c r="H111" s="48" t="str">
        <x:f>IF(G111=0,"Paid",IF(TODAY()&gt;D111,"Overdue",IF(F111&gt;0,"Partial","Sent")))</x:f>
        <x:v>Paid</x:v>
      </x:c>
      <x:c r="I111" s="76" t="n">
        <x:f>IF(G111=0,0,MAX(TODAY()-C111,0))</x:f>
        <x:v>0</x:v>
      </x:c>
      <x:c r="J111" s="50"/>
      <x:c r="K111" s="72"/>
    </x:row>
    <x:row r="112">
      <x:c r="A112" s="46"/>
      <x:c r="B112" s="46"/>
      <x:c r="C112" s="50"/>
      <x:c r="D112" s="50"/>
      <x:c r="E112" s="54"/>
      <x:c r="F112" s="54"/>
      <x:c r="G112" s="56" t="n">
        <x:f>MAX(E112-F112,0)</x:f>
        <x:v>0</x:v>
      </x:c>
      <x:c r="H112" s="48" t="str">
        <x:f>IF(G112=0,"Paid",IF(TODAY()&gt;D112,"Overdue",IF(F112&gt;0,"Partial","Sent")))</x:f>
        <x:v>Paid</x:v>
      </x:c>
      <x:c r="I112" s="76" t="n">
        <x:f>IF(G112=0,0,MAX(TODAY()-C112,0))</x:f>
        <x:v>0</x:v>
      </x:c>
      <x:c r="J112" s="50"/>
      <x:c r="K112" s="72"/>
    </x:row>
    <x:row r="113">
      <x:c r="A113" s="46"/>
      <x:c r="B113" s="46"/>
      <x:c r="C113" s="50"/>
      <x:c r="D113" s="50"/>
      <x:c r="E113" s="54"/>
      <x:c r="F113" s="54"/>
      <x:c r="G113" s="56" t="n">
        <x:f>MAX(E113-F113,0)</x:f>
        <x:v>0</x:v>
      </x:c>
      <x:c r="H113" s="48" t="str">
        <x:f>IF(G113=0,"Paid",IF(TODAY()&gt;D113,"Overdue",IF(F113&gt;0,"Partial","Sent")))</x:f>
        <x:v>Paid</x:v>
      </x:c>
      <x:c r="I113" s="76" t="n">
        <x:f>IF(G113=0,0,MAX(TODAY()-C113,0))</x:f>
        <x:v>0</x:v>
      </x:c>
      <x:c r="J113" s="50"/>
      <x:c r="K113" s="72"/>
    </x:row>
    <x:row r="114">
      <x:c r="A114" s="46"/>
      <x:c r="B114" s="46"/>
      <x:c r="C114" s="50"/>
      <x:c r="D114" s="50"/>
      <x:c r="E114" s="54"/>
      <x:c r="F114" s="54"/>
      <x:c r="G114" s="56" t="n">
        <x:f>MAX(E114-F114,0)</x:f>
        <x:v>0</x:v>
      </x:c>
      <x:c r="H114" s="48" t="str">
        <x:f>IF(G114=0,"Paid",IF(TODAY()&gt;D114,"Overdue",IF(F114&gt;0,"Partial","Sent")))</x:f>
        <x:v>Paid</x:v>
      </x:c>
      <x:c r="I114" s="76" t="n">
        <x:f>IF(G114=0,0,MAX(TODAY()-C114,0))</x:f>
        <x:v>0</x:v>
      </x:c>
      <x:c r="J114" s="50"/>
      <x:c r="K114" s="72"/>
    </x:row>
    <x:row r="115">
      <x:c r="A115" s="46"/>
      <x:c r="B115" s="46"/>
      <x:c r="C115" s="50"/>
      <x:c r="D115" s="50"/>
      <x:c r="E115" s="54"/>
      <x:c r="F115" s="54"/>
      <x:c r="G115" s="56" t="n">
        <x:f>MAX(E115-F115,0)</x:f>
        <x:v>0</x:v>
      </x:c>
      <x:c r="H115" s="48" t="str">
        <x:f>IF(G115=0,"Paid",IF(TODAY()&gt;D115,"Overdue",IF(F115&gt;0,"Partial","Sent")))</x:f>
        <x:v>Paid</x:v>
      </x:c>
      <x:c r="I115" s="76" t="n">
        <x:f>IF(G115=0,0,MAX(TODAY()-C115,0))</x:f>
        <x:v>0</x:v>
      </x:c>
      <x:c r="J115" s="50"/>
      <x:c r="K115" s="72"/>
    </x:row>
    <x:row r="116">
      <x:c r="A116" s="46"/>
      <x:c r="B116" s="46"/>
      <x:c r="C116" s="50"/>
      <x:c r="D116" s="50"/>
      <x:c r="E116" s="54"/>
      <x:c r="F116" s="54"/>
      <x:c r="G116" s="56" t="n">
        <x:f>MAX(E116-F116,0)</x:f>
        <x:v>0</x:v>
      </x:c>
      <x:c r="H116" s="48" t="str">
        <x:f>IF(G116=0,"Paid",IF(TODAY()&gt;D116,"Overdue",IF(F116&gt;0,"Partial","Sent")))</x:f>
        <x:v>Paid</x:v>
      </x:c>
      <x:c r="I116" s="76" t="n">
        <x:f>IF(G116=0,0,MAX(TODAY()-C116,0))</x:f>
        <x:v>0</x:v>
      </x:c>
      <x:c r="J116" s="50"/>
      <x:c r="K116" s="72"/>
    </x:row>
    <x:row r="117">
      <x:c r="A117" s="46"/>
      <x:c r="B117" s="46"/>
      <x:c r="C117" s="50"/>
      <x:c r="D117" s="50"/>
      <x:c r="E117" s="54"/>
      <x:c r="F117" s="54"/>
      <x:c r="G117" s="56" t="n">
        <x:f>MAX(E117-F117,0)</x:f>
        <x:v>0</x:v>
      </x:c>
      <x:c r="H117" s="48" t="str">
        <x:f>IF(G117=0,"Paid",IF(TODAY()&gt;D117,"Overdue",IF(F117&gt;0,"Partial","Sent")))</x:f>
        <x:v>Paid</x:v>
      </x:c>
      <x:c r="I117" s="76" t="n">
        <x:f>IF(G117=0,0,MAX(TODAY()-C117,0))</x:f>
        <x:v>0</x:v>
      </x:c>
      <x:c r="J117" s="50"/>
      <x:c r="K117" s="72"/>
    </x:row>
    <x:row r="118">
      <x:c r="A118" s="46"/>
      <x:c r="B118" s="46"/>
      <x:c r="C118" s="50"/>
      <x:c r="D118" s="50"/>
      <x:c r="E118" s="54"/>
      <x:c r="F118" s="54"/>
      <x:c r="G118" s="56" t="n">
        <x:f>MAX(E118-F118,0)</x:f>
        <x:v>0</x:v>
      </x:c>
      <x:c r="H118" s="48" t="str">
        <x:f>IF(G118=0,"Paid",IF(TODAY()&gt;D118,"Overdue",IF(F118&gt;0,"Partial","Sent")))</x:f>
        <x:v>Paid</x:v>
      </x:c>
      <x:c r="I118" s="76" t="n">
        <x:f>IF(G118=0,0,MAX(TODAY()-C118,0))</x:f>
        <x:v>0</x:v>
      </x:c>
      <x:c r="J118" s="50"/>
      <x:c r="K118" s="72"/>
    </x:row>
    <x:row r="119">
      <x:c r="A119" s="46"/>
      <x:c r="B119" s="46"/>
      <x:c r="C119" s="50"/>
      <x:c r="D119" s="50"/>
      <x:c r="E119" s="54"/>
      <x:c r="F119" s="54"/>
      <x:c r="G119" s="56" t="n">
        <x:f>MAX(E119-F119,0)</x:f>
        <x:v>0</x:v>
      </x:c>
      <x:c r="H119" s="48" t="str">
        <x:f>IF(G119=0,"Paid",IF(TODAY()&gt;D119,"Overdue",IF(F119&gt;0,"Partial","Sent")))</x:f>
        <x:v>Paid</x:v>
      </x:c>
      <x:c r="I119" s="76" t="n">
        <x:f>IF(G119=0,0,MAX(TODAY()-C119,0))</x:f>
        <x:v>0</x:v>
      </x:c>
      <x:c r="J119" s="50"/>
      <x:c r="K119" s="72"/>
    </x:row>
    <x:row r="120">
      <x:c r="A120" s="46"/>
      <x:c r="B120" s="46"/>
      <x:c r="C120" s="50"/>
      <x:c r="D120" s="50"/>
      <x:c r="E120" s="54"/>
      <x:c r="F120" s="54"/>
      <x:c r="G120" s="56" t="n">
        <x:f>MAX(E120-F120,0)</x:f>
        <x:v>0</x:v>
      </x:c>
      <x:c r="H120" s="48" t="str">
        <x:f>IF(G120=0,"Paid",IF(TODAY()&gt;D120,"Overdue",IF(F120&gt;0,"Partial","Sent")))</x:f>
        <x:v>Paid</x:v>
      </x:c>
      <x:c r="I120" s="76" t="n">
        <x:f>IF(G120=0,0,MAX(TODAY()-C120,0))</x:f>
        <x:v>0</x:v>
      </x:c>
      <x:c r="J120" s="50"/>
      <x:c r="K120" s="72"/>
    </x:row>
    <x:row r="121">
      <x:c r="A121" s="46"/>
      <x:c r="B121" s="46"/>
      <x:c r="C121" s="50"/>
      <x:c r="D121" s="50"/>
      <x:c r="E121" s="54"/>
      <x:c r="F121" s="54"/>
      <x:c r="G121" s="56" t="n">
        <x:f>MAX(E121-F121,0)</x:f>
        <x:v>0</x:v>
      </x:c>
      <x:c r="H121" s="48" t="str">
        <x:f>IF(G121=0,"Paid",IF(TODAY()&gt;D121,"Overdue",IF(F121&gt;0,"Partial","Sent")))</x:f>
        <x:v>Paid</x:v>
      </x:c>
      <x:c r="I121" s="76" t="n">
        <x:f>IF(G121=0,0,MAX(TODAY()-C121,0))</x:f>
        <x:v>0</x:v>
      </x:c>
      <x:c r="J121" s="50"/>
      <x:c r="K121" s="72"/>
    </x:row>
    <x:row r="122">
      <x:c r="A122" s="46"/>
      <x:c r="B122" s="46"/>
      <x:c r="C122" s="50"/>
      <x:c r="D122" s="50"/>
      <x:c r="E122" s="54"/>
      <x:c r="F122" s="54"/>
      <x:c r="G122" s="56" t="n">
        <x:f>MAX(E122-F122,0)</x:f>
        <x:v>0</x:v>
      </x:c>
      <x:c r="H122" s="48" t="str">
        <x:f>IF(G122=0,"Paid",IF(TODAY()&gt;D122,"Overdue",IF(F122&gt;0,"Partial","Sent")))</x:f>
        <x:v>Paid</x:v>
      </x:c>
      <x:c r="I122" s="76" t="n">
        <x:f>IF(G122=0,0,MAX(TODAY()-C122,0))</x:f>
        <x:v>0</x:v>
      </x:c>
      <x:c r="J122" s="50"/>
      <x:c r="K122" s="72"/>
    </x:row>
    <x:row r="123">
      <x:c r="A123" s="46"/>
      <x:c r="B123" s="46"/>
      <x:c r="C123" s="50"/>
      <x:c r="D123" s="50"/>
      <x:c r="E123" s="54"/>
      <x:c r="F123" s="54"/>
      <x:c r="G123" s="56" t="n">
        <x:f>MAX(E123-F123,0)</x:f>
        <x:v>0</x:v>
      </x:c>
      <x:c r="H123" s="48" t="str">
        <x:f>IF(G123=0,"Paid",IF(TODAY()&gt;D123,"Overdue",IF(F123&gt;0,"Partial","Sent")))</x:f>
        <x:v>Paid</x:v>
      </x:c>
      <x:c r="I123" s="76" t="n">
        <x:f>IF(G123=0,0,MAX(TODAY()-C123,0))</x:f>
        <x:v>0</x:v>
      </x:c>
      <x:c r="J123" s="50"/>
      <x:c r="K123" s="72"/>
    </x:row>
    <x:row r="124">
      <x:c r="A124" s="46"/>
      <x:c r="B124" s="46"/>
      <x:c r="C124" s="50"/>
      <x:c r="D124" s="50"/>
      <x:c r="E124" s="54"/>
      <x:c r="F124" s="54"/>
      <x:c r="G124" s="56" t="n">
        <x:f>MAX(E124-F124,0)</x:f>
        <x:v>0</x:v>
      </x:c>
      <x:c r="H124" s="48" t="str">
        <x:f>IF(G124=0,"Paid",IF(TODAY()&gt;D124,"Overdue",IF(F124&gt;0,"Partial","Sent")))</x:f>
        <x:v>Paid</x:v>
      </x:c>
      <x:c r="I124" s="76" t="n">
        <x:f>IF(G124=0,0,MAX(TODAY()-C124,0))</x:f>
        <x:v>0</x:v>
      </x:c>
      <x:c r="J124" s="50"/>
      <x:c r="K124" s="72"/>
    </x:row>
    <x:row r="125">
      <x:c r="A125" s="46"/>
      <x:c r="B125" s="46"/>
      <x:c r="C125" s="50"/>
      <x:c r="D125" s="50"/>
      <x:c r="E125" s="54"/>
      <x:c r="F125" s="54"/>
      <x:c r="G125" s="56" t="n">
        <x:f>MAX(E125-F125,0)</x:f>
        <x:v>0</x:v>
      </x:c>
      <x:c r="H125" s="48" t="str">
        <x:f>IF(G125=0,"Paid",IF(TODAY()&gt;D125,"Overdue",IF(F125&gt;0,"Partial","Sent")))</x:f>
        <x:v>Paid</x:v>
      </x:c>
      <x:c r="I125" s="76" t="n">
        <x:f>IF(G125=0,0,MAX(TODAY()-C125,0))</x:f>
        <x:v>0</x:v>
      </x:c>
      <x:c r="J125" s="50"/>
      <x:c r="K125" s="72"/>
    </x:row>
    <x:row r="126">
      <x:c r="A126" s="46"/>
      <x:c r="B126" s="46"/>
      <x:c r="C126" s="50"/>
      <x:c r="D126" s="50"/>
      <x:c r="E126" s="54"/>
      <x:c r="F126" s="54"/>
      <x:c r="G126" s="56" t="n">
        <x:f>MAX(E126-F126,0)</x:f>
        <x:v>0</x:v>
      </x:c>
      <x:c r="H126" s="48" t="str">
        <x:f>IF(G126=0,"Paid",IF(TODAY()&gt;D126,"Overdue",IF(F126&gt;0,"Partial","Sent")))</x:f>
        <x:v>Paid</x:v>
      </x:c>
      <x:c r="I126" s="76" t="n">
        <x:f>IF(G126=0,0,MAX(TODAY()-C126,0))</x:f>
        <x:v>0</x:v>
      </x:c>
      <x:c r="J126" s="50"/>
      <x:c r="K126" s="72"/>
    </x:row>
    <x:row r="127">
      <x:c r="A127" s="46"/>
      <x:c r="B127" s="46"/>
      <x:c r="C127" s="50"/>
      <x:c r="D127" s="50"/>
      <x:c r="E127" s="54"/>
      <x:c r="F127" s="54"/>
      <x:c r="G127" s="56" t="n">
        <x:f>MAX(E127-F127,0)</x:f>
        <x:v>0</x:v>
      </x:c>
      <x:c r="H127" s="48" t="str">
        <x:f>IF(G127=0,"Paid",IF(TODAY()&gt;D127,"Overdue",IF(F127&gt;0,"Partial","Sent")))</x:f>
        <x:v>Paid</x:v>
      </x:c>
      <x:c r="I127" s="76" t="n">
        <x:f>IF(G127=0,0,MAX(TODAY()-C127,0))</x:f>
        <x:v>0</x:v>
      </x:c>
      <x:c r="J127" s="50"/>
      <x:c r="K127" s="72"/>
    </x:row>
    <x:row r="128">
      <x:c r="A128" s="46"/>
      <x:c r="B128" s="46"/>
      <x:c r="C128" s="50"/>
      <x:c r="D128" s="50"/>
      <x:c r="E128" s="54"/>
      <x:c r="F128" s="54"/>
      <x:c r="G128" s="56" t="n">
        <x:f>MAX(E128-F128,0)</x:f>
        <x:v>0</x:v>
      </x:c>
      <x:c r="H128" s="48" t="str">
        <x:f>IF(G128=0,"Paid",IF(TODAY()&gt;D128,"Overdue",IF(F128&gt;0,"Partial","Sent")))</x:f>
        <x:v>Paid</x:v>
      </x:c>
      <x:c r="I128" s="76" t="n">
        <x:f>IF(G128=0,0,MAX(TODAY()-C128,0))</x:f>
        <x:v>0</x:v>
      </x:c>
      <x:c r="J128" s="50"/>
      <x:c r="K128" s="72"/>
    </x:row>
    <x:row r="129">
      <x:c r="A129" s="46"/>
      <x:c r="B129" s="46"/>
      <x:c r="C129" s="50"/>
      <x:c r="D129" s="50"/>
      <x:c r="E129" s="54"/>
      <x:c r="F129" s="54"/>
      <x:c r="G129" s="56" t="n">
        <x:f>MAX(E129-F129,0)</x:f>
        <x:v>0</x:v>
      </x:c>
      <x:c r="H129" s="48" t="str">
        <x:f>IF(G129=0,"Paid",IF(TODAY()&gt;D129,"Overdue",IF(F129&gt;0,"Partial","Sent")))</x:f>
        <x:v>Paid</x:v>
      </x:c>
      <x:c r="I129" s="76" t="n">
        <x:f>IF(G129=0,0,MAX(TODAY()-C129,0))</x:f>
        <x:v>0</x:v>
      </x:c>
      <x:c r="J129" s="50"/>
      <x:c r="K129" s="72"/>
    </x:row>
    <x:row r="130">
      <x:c r="A130" s="46"/>
      <x:c r="B130" s="46"/>
      <x:c r="C130" s="50"/>
      <x:c r="D130" s="50"/>
      <x:c r="E130" s="54"/>
      <x:c r="F130" s="54"/>
      <x:c r="G130" s="56" t="n">
        <x:f>MAX(E130-F130,0)</x:f>
        <x:v>0</x:v>
      </x:c>
      <x:c r="H130" s="48" t="str">
        <x:f>IF(G130=0,"Paid",IF(TODAY()&gt;D130,"Overdue",IF(F130&gt;0,"Partial","Sent")))</x:f>
        <x:v>Paid</x:v>
      </x:c>
      <x:c r="I130" s="76" t="n">
        <x:f>IF(G130=0,0,MAX(TODAY()-C130,0))</x:f>
        <x:v>0</x:v>
      </x:c>
      <x:c r="J130" s="50"/>
      <x:c r="K130" s="72"/>
    </x:row>
    <x:row r="131">
      <x:c r="A131" s="46"/>
      <x:c r="B131" s="46"/>
      <x:c r="C131" s="50"/>
      <x:c r="D131" s="50"/>
      <x:c r="E131" s="54"/>
      <x:c r="F131" s="54"/>
      <x:c r="G131" s="56" t="n">
        <x:f>MAX(E131-F131,0)</x:f>
        <x:v>0</x:v>
      </x:c>
      <x:c r="H131" s="48" t="str">
        <x:f>IF(G131=0,"Paid",IF(TODAY()&gt;D131,"Overdue",IF(F131&gt;0,"Partial","Sent")))</x:f>
        <x:v>Paid</x:v>
      </x:c>
      <x:c r="I131" s="76" t="n">
        <x:f>IF(G131=0,0,MAX(TODAY()-C131,0))</x:f>
        <x:v>0</x:v>
      </x:c>
      <x:c r="J131" s="50"/>
      <x:c r="K131" s="72"/>
    </x:row>
    <x:row r="132">
      <x:c r="A132" s="46"/>
      <x:c r="B132" s="46"/>
      <x:c r="C132" s="50"/>
      <x:c r="D132" s="50"/>
      <x:c r="E132" s="54"/>
      <x:c r="F132" s="54"/>
      <x:c r="G132" s="56" t="n">
        <x:f>MAX(E132-F132,0)</x:f>
        <x:v>0</x:v>
      </x:c>
      <x:c r="H132" s="48" t="str">
        <x:f>IF(G132=0,"Paid",IF(TODAY()&gt;D132,"Overdue",IF(F132&gt;0,"Partial","Sent")))</x:f>
        <x:v>Paid</x:v>
      </x:c>
      <x:c r="I132" s="76" t="n">
        <x:f>IF(G132=0,0,MAX(TODAY()-C132,0))</x:f>
        <x:v>0</x:v>
      </x:c>
      <x:c r="J132" s="50"/>
      <x:c r="K132" s="72"/>
    </x:row>
    <x:row r="133">
      <x:c r="A133" s="46"/>
      <x:c r="B133" s="46"/>
      <x:c r="C133" s="50"/>
      <x:c r="D133" s="50"/>
      <x:c r="E133" s="54"/>
      <x:c r="F133" s="54"/>
      <x:c r="G133" s="56" t="n">
        <x:f>MAX(E133-F133,0)</x:f>
        <x:v>0</x:v>
      </x:c>
      <x:c r="H133" s="48" t="str">
        <x:f>IF(G133=0,"Paid",IF(TODAY()&gt;D133,"Overdue",IF(F133&gt;0,"Partial","Sent")))</x:f>
        <x:v>Paid</x:v>
      </x:c>
      <x:c r="I133" s="76" t="n">
        <x:f>IF(G133=0,0,MAX(TODAY()-C133,0))</x:f>
        <x:v>0</x:v>
      </x:c>
      <x:c r="J133" s="50"/>
      <x:c r="K133" s="72"/>
    </x:row>
    <x:row r="134">
      <x:c r="A134" s="46"/>
      <x:c r="B134" s="46"/>
      <x:c r="C134" s="50"/>
      <x:c r="D134" s="50"/>
      <x:c r="E134" s="54"/>
      <x:c r="F134" s="54"/>
      <x:c r="G134" s="56" t="n">
        <x:f>MAX(E134-F134,0)</x:f>
        <x:v>0</x:v>
      </x:c>
      <x:c r="H134" s="48" t="str">
        <x:f>IF(G134=0,"Paid",IF(TODAY()&gt;D134,"Overdue",IF(F134&gt;0,"Partial","Sent")))</x:f>
        <x:v>Paid</x:v>
      </x:c>
      <x:c r="I134" s="76" t="n">
        <x:f>IF(G134=0,0,MAX(TODAY()-C134,0))</x:f>
        <x:v>0</x:v>
      </x:c>
      <x:c r="J134" s="50"/>
      <x:c r="K134" s="72"/>
    </x:row>
    <x:row r="135">
      <x:c r="A135" s="46"/>
      <x:c r="B135" s="46"/>
      <x:c r="C135" s="50"/>
      <x:c r="D135" s="50"/>
      <x:c r="E135" s="54"/>
      <x:c r="F135" s="54"/>
      <x:c r="G135" s="56" t="n">
        <x:f>MAX(E135-F135,0)</x:f>
        <x:v>0</x:v>
      </x:c>
      <x:c r="H135" s="48" t="str">
        <x:f>IF(G135=0,"Paid",IF(TODAY()&gt;D135,"Overdue",IF(F135&gt;0,"Partial","Sent")))</x:f>
        <x:v>Paid</x:v>
      </x:c>
      <x:c r="I135" s="76" t="n">
        <x:f>IF(G135=0,0,MAX(TODAY()-C135,0))</x:f>
        <x:v>0</x:v>
      </x:c>
      <x:c r="J135" s="50"/>
      <x:c r="K135" s="72"/>
    </x:row>
    <x:row r="136">
      <x:c r="A136" s="46"/>
      <x:c r="B136" s="46"/>
      <x:c r="C136" s="50"/>
      <x:c r="D136" s="50"/>
      <x:c r="E136" s="54"/>
      <x:c r="F136" s="54"/>
      <x:c r="G136" s="56" t="n">
        <x:f>MAX(E136-F136,0)</x:f>
        <x:v>0</x:v>
      </x:c>
      <x:c r="H136" s="48" t="str">
        <x:f>IF(G136=0,"Paid",IF(TODAY()&gt;D136,"Overdue",IF(F136&gt;0,"Partial","Sent")))</x:f>
        <x:v>Paid</x:v>
      </x:c>
      <x:c r="I136" s="76" t="n">
        <x:f>IF(G136=0,0,MAX(TODAY()-C136,0))</x:f>
        <x:v>0</x:v>
      </x:c>
      <x:c r="J136" s="50"/>
      <x:c r="K136" s="72"/>
    </x:row>
    <x:row r="137">
      <x:c r="A137" s="46"/>
      <x:c r="B137" s="46"/>
      <x:c r="C137" s="50"/>
      <x:c r="D137" s="50"/>
      <x:c r="E137" s="54"/>
      <x:c r="F137" s="54"/>
      <x:c r="G137" s="56" t="n">
        <x:f>MAX(E137-F137,0)</x:f>
        <x:v>0</x:v>
      </x:c>
      <x:c r="H137" s="48" t="str">
        <x:f>IF(G137=0,"Paid",IF(TODAY()&gt;D137,"Overdue",IF(F137&gt;0,"Partial","Sent")))</x:f>
        <x:v>Paid</x:v>
      </x:c>
      <x:c r="I137" s="76" t="n">
        <x:f>IF(G137=0,0,MAX(TODAY()-C137,0))</x:f>
        <x:v>0</x:v>
      </x:c>
      <x:c r="J137" s="50"/>
      <x:c r="K137" s="72"/>
    </x:row>
    <x:row r="138">
      <x:c r="A138" s="46"/>
      <x:c r="B138" s="46"/>
      <x:c r="C138" s="50"/>
      <x:c r="D138" s="50"/>
      <x:c r="E138" s="54"/>
      <x:c r="F138" s="54"/>
      <x:c r="G138" s="56" t="n">
        <x:f>MAX(E138-F138,0)</x:f>
        <x:v>0</x:v>
      </x:c>
      <x:c r="H138" s="48" t="str">
        <x:f>IF(G138=0,"Paid",IF(TODAY()&gt;D138,"Overdue",IF(F138&gt;0,"Partial","Sent")))</x:f>
        <x:v>Paid</x:v>
      </x:c>
      <x:c r="I138" s="76" t="n">
        <x:f>IF(G138=0,0,MAX(TODAY()-C138,0))</x:f>
        <x:v>0</x:v>
      </x:c>
      <x:c r="J138" s="50"/>
      <x:c r="K138" s="72"/>
    </x:row>
    <x:row r="139">
      <x:c r="A139" s="46"/>
      <x:c r="B139" s="46"/>
      <x:c r="C139" s="50"/>
      <x:c r="D139" s="50"/>
      <x:c r="E139" s="54"/>
      <x:c r="F139" s="54"/>
      <x:c r="G139" s="56" t="n">
        <x:f>MAX(E139-F139,0)</x:f>
        <x:v>0</x:v>
      </x:c>
      <x:c r="H139" s="48" t="str">
        <x:f>IF(G139=0,"Paid",IF(TODAY()&gt;D139,"Overdue",IF(F139&gt;0,"Partial","Sent")))</x:f>
        <x:v>Paid</x:v>
      </x:c>
      <x:c r="I139" s="76" t="n">
        <x:f>IF(G139=0,0,MAX(TODAY()-C139,0))</x:f>
        <x:v>0</x:v>
      </x:c>
      <x:c r="J139" s="50"/>
      <x:c r="K139" s="72"/>
    </x:row>
    <x:row r="140">
      <x:c r="A140" s="46"/>
      <x:c r="B140" s="46"/>
      <x:c r="C140" s="50"/>
      <x:c r="D140" s="50"/>
      <x:c r="E140" s="54"/>
      <x:c r="F140" s="54"/>
      <x:c r="G140" s="56" t="n">
        <x:f>MAX(E140-F140,0)</x:f>
        <x:v>0</x:v>
      </x:c>
      <x:c r="H140" s="48" t="str">
        <x:f>IF(G140=0,"Paid",IF(TODAY()&gt;D140,"Overdue",IF(F140&gt;0,"Partial","Sent")))</x:f>
        <x:v>Paid</x:v>
      </x:c>
      <x:c r="I140" s="76" t="n">
        <x:f>IF(G140=0,0,MAX(TODAY()-C140,0))</x:f>
        <x:v>0</x:v>
      </x:c>
      <x:c r="J140" s="50"/>
      <x:c r="K140" s="72"/>
    </x:row>
    <x:row r="141">
      <x:c r="A141" s="46"/>
      <x:c r="B141" s="46"/>
      <x:c r="C141" s="50"/>
      <x:c r="D141" s="50"/>
      <x:c r="E141" s="54"/>
      <x:c r="F141" s="54"/>
      <x:c r="G141" s="56" t="n">
        <x:f>MAX(E141-F141,0)</x:f>
        <x:v>0</x:v>
      </x:c>
      <x:c r="H141" s="48" t="str">
        <x:f>IF(G141=0,"Paid",IF(TODAY()&gt;D141,"Overdue",IF(F141&gt;0,"Partial","Sent")))</x:f>
        <x:v>Paid</x:v>
      </x:c>
      <x:c r="I141" s="76" t="n">
        <x:f>IF(G141=0,0,MAX(TODAY()-C141,0))</x:f>
        <x:v>0</x:v>
      </x:c>
      <x:c r="J141" s="50"/>
      <x:c r="K141" s="72"/>
    </x:row>
    <x:row r="142">
      <x:c r="A142" s="46"/>
      <x:c r="B142" s="46"/>
      <x:c r="C142" s="50"/>
      <x:c r="D142" s="50"/>
      <x:c r="E142" s="54"/>
      <x:c r="F142" s="54"/>
      <x:c r="G142" s="56" t="n">
        <x:f>MAX(E142-F142,0)</x:f>
        <x:v>0</x:v>
      </x:c>
      <x:c r="H142" s="48" t="str">
        <x:f>IF(G142=0,"Paid",IF(TODAY()&gt;D142,"Overdue",IF(F142&gt;0,"Partial","Sent")))</x:f>
        <x:v>Paid</x:v>
      </x:c>
      <x:c r="I142" s="76" t="n">
        <x:f>IF(G142=0,0,MAX(TODAY()-C142,0))</x:f>
        <x:v>0</x:v>
      </x:c>
      <x:c r="J142" s="50"/>
      <x:c r="K142" s="72"/>
    </x:row>
    <x:row r="143">
      <x:c r="A143" s="46"/>
      <x:c r="B143" s="46"/>
      <x:c r="C143" s="50"/>
      <x:c r="D143" s="50"/>
      <x:c r="E143" s="54"/>
      <x:c r="F143" s="54"/>
      <x:c r="G143" s="56" t="n">
        <x:f>MAX(E143-F143,0)</x:f>
        <x:v>0</x:v>
      </x:c>
      <x:c r="H143" s="48" t="str">
        <x:f>IF(G143=0,"Paid",IF(TODAY()&gt;D143,"Overdue",IF(F143&gt;0,"Partial","Sent")))</x:f>
        <x:v>Paid</x:v>
      </x:c>
      <x:c r="I143" s="76" t="n">
        <x:f>IF(G143=0,0,MAX(TODAY()-C143,0))</x:f>
        <x:v>0</x:v>
      </x:c>
      <x:c r="J143" s="50"/>
      <x:c r="K143" s="72"/>
    </x:row>
    <x:row r="144">
      <x:c r="A144" s="46"/>
      <x:c r="B144" s="46"/>
      <x:c r="C144" s="50"/>
      <x:c r="D144" s="50"/>
      <x:c r="E144" s="54"/>
      <x:c r="F144" s="54"/>
      <x:c r="G144" s="56" t="n">
        <x:f>MAX(E144-F144,0)</x:f>
        <x:v>0</x:v>
      </x:c>
      <x:c r="H144" s="48" t="str">
        <x:f>IF(G144=0,"Paid",IF(TODAY()&gt;D144,"Overdue",IF(F144&gt;0,"Partial","Sent")))</x:f>
        <x:v>Paid</x:v>
      </x:c>
      <x:c r="I144" s="76" t="n">
        <x:f>IF(G144=0,0,MAX(TODAY()-C144,0))</x:f>
        <x:v>0</x:v>
      </x:c>
      <x:c r="J144" s="50"/>
      <x:c r="K144" s="72"/>
    </x:row>
    <x:row r="145">
      <x:c r="A145" s="46"/>
      <x:c r="B145" s="46"/>
      <x:c r="C145" s="50"/>
      <x:c r="D145" s="50"/>
      <x:c r="E145" s="54"/>
      <x:c r="F145" s="54"/>
      <x:c r="G145" s="56" t="n">
        <x:f>MAX(E145-F145,0)</x:f>
        <x:v>0</x:v>
      </x:c>
      <x:c r="H145" s="48" t="str">
        <x:f>IF(G145=0,"Paid",IF(TODAY()&gt;D145,"Overdue",IF(F145&gt;0,"Partial","Sent")))</x:f>
        <x:v>Paid</x:v>
      </x:c>
      <x:c r="I145" s="76" t="n">
        <x:f>IF(G145=0,0,MAX(TODAY()-C145,0))</x:f>
        <x:v>0</x:v>
      </x:c>
      <x:c r="J145" s="50"/>
      <x:c r="K145" s="72"/>
    </x:row>
    <x:row r="146">
      <x:c r="A146" s="46"/>
      <x:c r="B146" s="46"/>
      <x:c r="C146" s="50"/>
      <x:c r="D146" s="50"/>
      <x:c r="E146" s="54"/>
      <x:c r="F146" s="54"/>
      <x:c r="G146" s="56" t="n">
        <x:f>MAX(E146-F146,0)</x:f>
        <x:v>0</x:v>
      </x:c>
      <x:c r="H146" s="48" t="str">
        <x:f>IF(G146=0,"Paid",IF(TODAY()&gt;D146,"Overdue",IF(F146&gt;0,"Partial","Sent")))</x:f>
        <x:v>Paid</x:v>
      </x:c>
      <x:c r="I146" s="76" t="n">
        <x:f>IF(G146=0,0,MAX(TODAY()-C146,0))</x:f>
        <x:v>0</x:v>
      </x:c>
      <x:c r="J146" s="50"/>
      <x:c r="K146" s="72"/>
    </x:row>
    <x:row r="147">
      <x:c r="A147" s="46"/>
      <x:c r="B147" s="46"/>
      <x:c r="C147" s="50"/>
      <x:c r="D147" s="50"/>
      <x:c r="E147" s="54"/>
      <x:c r="F147" s="54"/>
      <x:c r="G147" s="56" t="n">
        <x:f>MAX(E147-F147,0)</x:f>
        <x:v>0</x:v>
      </x:c>
      <x:c r="H147" s="48" t="str">
        <x:f>IF(G147=0,"Paid",IF(TODAY()&gt;D147,"Overdue",IF(F147&gt;0,"Partial","Sent")))</x:f>
        <x:v>Paid</x:v>
      </x:c>
      <x:c r="I147" s="76" t="n">
        <x:f>IF(G147=0,0,MAX(TODAY()-C147,0))</x:f>
        <x:v>0</x:v>
      </x:c>
      <x:c r="J147" s="50"/>
      <x:c r="K147" s="72"/>
    </x:row>
    <x:row r="148">
      <x:c r="A148" s="46"/>
      <x:c r="B148" s="46"/>
      <x:c r="C148" s="50"/>
      <x:c r="D148" s="50"/>
      <x:c r="E148" s="54"/>
      <x:c r="F148" s="54"/>
      <x:c r="G148" s="56" t="n">
        <x:f>MAX(E148-F148,0)</x:f>
        <x:v>0</x:v>
      </x:c>
      <x:c r="H148" s="48" t="str">
        <x:f>IF(G148=0,"Paid",IF(TODAY()&gt;D148,"Overdue",IF(F148&gt;0,"Partial","Sent")))</x:f>
        <x:v>Paid</x:v>
      </x:c>
      <x:c r="I148" s="76" t="n">
        <x:f>IF(G148=0,0,MAX(TODAY()-C148,0))</x:f>
        <x:v>0</x:v>
      </x:c>
      <x:c r="J148" s="50"/>
      <x:c r="K148" s="72"/>
    </x:row>
    <x:row r="149">
      <x:c r="A149" s="46"/>
      <x:c r="B149" s="46"/>
      <x:c r="C149" s="50"/>
      <x:c r="D149" s="50"/>
      <x:c r="E149" s="54"/>
      <x:c r="F149" s="54"/>
      <x:c r="G149" s="56" t="n">
        <x:f>MAX(E149-F149,0)</x:f>
        <x:v>0</x:v>
      </x:c>
      <x:c r="H149" s="48" t="str">
        <x:f>IF(G149=0,"Paid",IF(TODAY()&gt;D149,"Overdue",IF(F149&gt;0,"Partial","Sent")))</x:f>
        <x:v>Paid</x:v>
      </x:c>
      <x:c r="I149" s="76" t="n">
        <x:f>IF(G149=0,0,MAX(TODAY()-C149,0))</x:f>
        <x:v>0</x:v>
      </x:c>
      <x:c r="J149" s="50"/>
      <x:c r="K149" s="72"/>
    </x:row>
    <x:row r="150">
      <x:c r="A150" s="46"/>
      <x:c r="B150" s="46"/>
      <x:c r="C150" s="50"/>
      <x:c r="D150" s="50"/>
      <x:c r="E150" s="54"/>
      <x:c r="F150" s="54"/>
      <x:c r="G150" s="56" t="n">
        <x:f>MAX(E150-F150,0)</x:f>
        <x:v>0</x:v>
      </x:c>
      <x:c r="H150" s="48" t="str">
        <x:f>IF(G150=0,"Paid",IF(TODAY()&gt;D150,"Overdue",IF(F150&gt;0,"Partial","Sent")))</x:f>
        <x:v>Paid</x:v>
      </x:c>
      <x:c r="I150" s="76" t="n">
        <x:f>IF(G150=0,0,MAX(TODAY()-C150,0))</x:f>
        <x:v>0</x:v>
      </x:c>
      <x:c r="J150" s="50"/>
      <x:c r="K150" s="72"/>
    </x:row>
    <x:row r="151">
      <x:c r="A151" s="46"/>
      <x:c r="B151" s="46"/>
      <x:c r="C151" s="50"/>
      <x:c r="D151" s="50"/>
      <x:c r="E151" s="54"/>
      <x:c r="F151" s="54"/>
      <x:c r="G151" s="56" t="n">
        <x:f>MAX(E151-F151,0)</x:f>
        <x:v>0</x:v>
      </x:c>
      <x:c r="H151" s="48" t="str">
        <x:f>IF(G151=0,"Paid",IF(TODAY()&gt;D151,"Overdue",IF(F151&gt;0,"Partial","Sent")))</x:f>
        <x:v>Paid</x:v>
      </x:c>
      <x:c r="I151" s="76" t="n">
        <x:f>IF(G151=0,0,MAX(TODAY()-C151,0))</x:f>
        <x:v>0</x:v>
      </x:c>
      <x:c r="J151" s="50"/>
      <x:c r="K151" s="72"/>
    </x:row>
    <x:row r="152">
      <x:c r="A152" s="46"/>
      <x:c r="B152" s="46"/>
      <x:c r="C152" s="50"/>
      <x:c r="D152" s="50"/>
      <x:c r="E152" s="54"/>
      <x:c r="F152" s="54"/>
      <x:c r="G152" s="56" t="n">
        <x:f>MAX(E152-F152,0)</x:f>
        <x:v>0</x:v>
      </x:c>
      <x:c r="H152" s="48" t="str">
        <x:f>IF(G152=0,"Paid",IF(TODAY()&gt;D152,"Overdue",IF(F152&gt;0,"Partial","Sent")))</x:f>
        <x:v>Paid</x:v>
      </x:c>
      <x:c r="I152" s="76" t="n">
        <x:f>IF(G152=0,0,MAX(TODAY()-C152,0))</x:f>
        <x:v>0</x:v>
      </x:c>
      <x:c r="J152" s="50"/>
      <x:c r="K152" s="72"/>
    </x:row>
    <x:row r="153">
      <x:c r="A153" s="46"/>
      <x:c r="B153" s="46"/>
      <x:c r="C153" s="50"/>
      <x:c r="D153" s="50"/>
      <x:c r="E153" s="54"/>
      <x:c r="F153" s="54"/>
      <x:c r="G153" s="56" t="n">
        <x:f>MAX(E153-F153,0)</x:f>
        <x:v>0</x:v>
      </x:c>
      <x:c r="H153" s="48" t="str">
        <x:f>IF(G153=0,"Paid",IF(TODAY()&gt;D153,"Overdue",IF(F153&gt;0,"Partial","Sent")))</x:f>
        <x:v>Paid</x:v>
      </x:c>
      <x:c r="I153" s="76" t="n">
        <x:f>IF(G153=0,0,MAX(TODAY()-C153,0))</x:f>
        <x:v>0</x:v>
      </x:c>
      <x:c r="J153" s="50"/>
      <x:c r="K153" s="72"/>
    </x:row>
    <x:row r="154">
      <x:c r="A154" s="46"/>
      <x:c r="B154" s="46"/>
      <x:c r="C154" s="50"/>
      <x:c r="D154" s="50"/>
      <x:c r="E154" s="54"/>
      <x:c r="F154" s="54"/>
      <x:c r="G154" s="56" t="n">
        <x:f>MAX(E154-F154,0)</x:f>
        <x:v>0</x:v>
      </x:c>
      <x:c r="H154" s="48" t="str">
        <x:f>IF(G154=0,"Paid",IF(TODAY()&gt;D154,"Overdue",IF(F154&gt;0,"Partial","Sent")))</x:f>
        <x:v>Paid</x:v>
      </x:c>
      <x:c r="I154" s="76" t="n">
        <x:f>IF(G154=0,0,MAX(TODAY()-C154,0))</x:f>
        <x:v>0</x:v>
      </x:c>
      <x:c r="J154" s="50"/>
      <x:c r="K154" s="72"/>
    </x:row>
    <x:row r="155">
      <x:c r="A155" s="46"/>
      <x:c r="B155" s="46"/>
      <x:c r="C155" s="50"/>
      <x:c r="D155" s="50"/>
      <x:c r="E155" s="54"/>
      <x:c r="F155" s="54"/>
      <x:c r="G155" s="56" t="n">
        <x:f>MAX(E155-F155,0)</x:f>
        <x:v>0</x:v>
      </x:c>
      <x:c r="H155" s="48" t="str">
        <x:f>IF(G155=0,"Paid",IF(TODAY()&gt;D155,"Overdue",IF(F155&gt;0,"Partial","Sent")))</x:f>
        <x:v>Paid</x:v>
      </x:c>
      <x:c r="I155" s="76" t="n">
        <x:f>IF(G155=0,0,MAX(TODAY()-C155,0))</x:f>
        <x:v>0</x:v>
      </x:c>
      <x:c r="J155" s="50"/>
      <x:c r="K155" s="72"/>
    </x:row>
    <x:row r="156">
      <x:c r="A156" s="46"/>
      <x:c r="B156" s="46"/>
      <x:c r="C156" s="50"/>
      <x:c r="D156" s="50"/>
      <x:c r="E156" s="54"/>
      <x:c r="F156" s="54"/>
      <x:c r="G156" s="56" t="n">
        <x:f>MAX(E156-F156,0)</x:f>
        <x:v>0</x:v>
      </x:c>
      <x:c r="H156" s="48" t="str">
        <x:f>IF(G156=0,"Paid",IF(TODAY()&gt;D156,"Overdue",IF(F156&gt;0,"Partial","Sent")))</x:f>
        <x:v>Paid</x:v>
      </x:c>
      <x:c r="I156" s="76" t="n">
        <x:f>IF(G156=0,0,MAX(TODAY()-C156,0))</x:f>
        <x:v>0</x:v>
      </x:c>
      <x:c r="J156" s="50"/>
      <x:c r="K156" s="72"/>
    </x:row>
    <x:row r="157">
      <x:c r="A157" s="46"/>
      <x:c r="B157" s="46"/>
      <x:c r="C157" s="50"/>
      <x:c r="D157" s="50"/>
      <x:c r="E157" s="54"/>
      <x:c r="F157" s="54"/>
      <x:c r="G157" s="56" t="n">
        <x:f>MAX(E157-F157,0)</x:f>
        <x:v>0</x:v>
      </x:c>
      <x:c r="H157" s="48" t="str">
        <x:f>IF(G157=0,"Paid",IF(TODAY()&gt;D157,"Overdue",IF(F157&gt;0,"Partial","Sent")))</x:f>
        <x:v>Paid</x:v>
      </x:c>
      <x:c r="I157" s="76" t="n">
        <x:f>IF(G157=0,0,MAX(TODAY()-C157,0))</x:f>
        <x:v>0</x:v>
      </x:c>
      <x:c r="J157" s="50"/>
      <x:c r="K157" s="72"/>
    </x:row>
    <x:row r="158">
      <x:c r="A158" s="46"/>
      <x:c r="B158" s="46"/>
      <x:c r="C158" s="50"/>
      <x:c r="D158" s="50"/>
      <x:c r="E158" s="54"/>
      <x:c r="F158" s="54"/>
      <x:c r="G158" s="56" t="n">
        <x:f>MAX(E158-F158,0)</x:f>
        <x:v>0</x:v>
      </x:c>
      <x:c r="H158" s="48" t="str">
        <x:f>IF(G158=0,"Paid",IF(TODAY()&gt;D158,"Overdue",IF(F158&gt;0,"Partial","Sent")))</x:f>
        <x:v>Paid</x:v>
      </x:c>
      <x:c r="I158" s="76" t="n">
        <x:f>IF(G158=0,0,MAX(TODAY()-C158,0))</x:f>
        <x:v>0</x:v>
      </x:c>
      <x:c r="J158" s="50"/>
      <x:c r="K158" s="72"/>
    </x:row>
    <x:row r="159">
      <x:c r="A159" s="46"/>
      <x:c r="B159" s="46"/>
      <x:c r="C159" s="50"/>
      <x:c r="D159" s="50"/>
      <x:c r="E159" s="54"/>
      <x:c r="F159" s="54"/>
      <x:c r="G159" s="56" t="n">
        <x:f>MAX(E159-F159,0)</x:f>
        <x:v>0</x:v>
      </x:c>
      <x:c r="H159" s="48" t="str">
        <x:f>IF(G159=0,"Paid",IF(TODAY()&gt;D159,"Overdue",IF(F159&gt;0,"Partial","Sent")))</x:f>
        <x:v>Paid</x:v>
      </x:c>
      <x:c r="I159" s="76" t="n">
        <x:f>IF(G159=0,0,MAX(TODAY()-C159,0))</x:f>
        <x:v>0</x:v>
      </x:c>
      <x:c r="J159" s="50"/>
      <x:c r="K159" s="72"/>
    </x:row>
    <x:row r="160">
      <x:c r="A160" s="46"/>
      <x:c r="B160" s="46"/>
      <x:c r="C160" s="50"/>
      <x:c r="D160" s="50"/>
      <x:c r="E160" s="54"/>
      <x:c r="F160" s="54"/>
      <x:c r="G160" s="56" t="n">
        <x:f>MAX(E160-F160,0)</x:f>
        <x:v>0</x:v>
      </x:c>
      <x:c r="H160" s="48" t="str">
        <x:f>IF(G160=0,"Paid",IF(TODAY()&gt;D160,"Overdue",IF(F160&gt;0,"Partial","Sent")))</x:f>
        <x:v>Paid</x:v>
      </x:c>
      <x:c r="I160" s="76" t="n">
        <x:f>IF(G160=0,0,MAX(TODAY()-C160,0))</x:f>
        <x:v>0</x:v>
      </x:c>
      <x:c r="J160" s="50"/>
      <x:c r="K160" s="72"/>
    </x:row>
    <x:row r="161">
      <x:c r="A161" s="46"/>
      <x:c r="B161" s="46"/>
      <x:c r="C161" s="50"/>
      <x:c r="D161" s="50"/>
      <x:c r="E161" s="54"/>
      <x:c r="F161" s="54"/>
      <x:c r="G161" s="56" t="n">
        <x:f>MAX(E161-F161,0)</x:f>
        <x:v>0</x:v>
      </x:c>
      <x:c r="H161" s="48" t="str">
        <x:f>IF(G161=0,"Paid",IF(TODAY()&gt;D161,"Overdue",IF(F161&gt;0,"Partial","Sent")))</x:f>
        <x:v>Paid</x:v>
      </x:c>
      <x:c r="I161" s="76" t="n">
        <x:f>IF(G161=0,0,MAX(TODAY()-C161,0))</x:f>
        <x:v>0</x:v>
      </x:c>
      <x:c r="J161" s="50"/>
      <x:c r="K161" s="72"/>
    </x:row>
    <x:row r="162">
      <x:c r="A162" s="46"/>
      <x:c r="B162" s="46"/>
      <x:c r="C162" s="50"/>
      <x:c r="D162" s="50"/>
      <x:c r="E162" s="54"/>
      <x:c r="F162" s="54"/>
      <x:c r="G162" s="56" t="n">
        <x:f>MAX(E162-F162,0)</x:f>
        <x:v>0</x:v>
      </x:c>
      <x:c r="H162" s="48" t="str">
        <x:f>IF(G162=0,"Paid",IF(TODAY()&gt;D162,"Overdue",IF(F162&gt;0,"Partial","Sent")))</x:f>
        <x:v>Paid</x:v>
      </x:c>
      <x:c r="I162" s="76" t="n">
        <x:f>IF(G162=0,0,MAX(TODAY()-C162,0))</x:f>
        <x:v>0</x:v>
      </x:c>
      <x:c r="J162" s="50"/>
      <x:c r="K162" s="72"/>
    </x:row>
    <x:row r="163">
      <x:c r="A163" s="46"/>
      <x:c r="B163" s="46"/>
      <x:c r="C163" s="50"/>
      <x:c r="D163" s="50"/>
      <x:c r="E163" s="54"/>
      <x:c r="F163" s="54"/>
      <x:c r="G163" s="56" t="n">
        <x:f>MAX(E163-F163,0)</x:f>
        <x:v>0</x:v>
      </x:c>
      <x:c r="H163" s="48" t="str">
        <x:f>IF(G163=0,"Paid",IF(TODAY()&gt;D163,"Overdue",IF(F163&gt;0,"Partial","Sent")))</x:f>
        <x:v>Paid</x:v>
      </x:c>
      <x:c r="I163" s="76" t="n">
        <x:f>IF(G163=0,0,MAX(TODAY()-C163,0))</x:f>
        <x:v>0</x:v>
      </x:c>
      <x:c r="J163" s="50"/>
      <x:c r="K163" s="72"/>
    </x:row>
    <x:row r="164">
      <x:c r="A164" s="46"/>
      <x:c r="B164" s="46"/>
      <x:c r="C164" s="50"/>
      <x:c r="D164" s="50"/>
      <x:c r="E164" s="54"/>
      <x:c r="F164" s="54"/>
      <x:c r="G164" s="56" t="n">
        <x:f>MAX(E164-F164,0)</x:f>
        <x:v>0</x:v>
      </x:c>
      <x:c r="H164" s="48" t="str">
        <x:f>IF(G164=0,"Paid",IF(TODAY()&gt;D164,"Overdue",IF(F164&gt;0,"Partial","Sent")))</x:f>
        <x:v>Paid</x:v>
      </x:c>
      <x:c r="I164" s="76" t="n">
        <x:f>IF(G164=0,0,MAX(TODAY()-C164,0))</x:f>
        <x:v>0</x:v>
      </x:c>
      <x:c r="J164" s="50"/>
      <x:c r="K164" s="72"/>
    </x:row>
    <x:row r="165">
      <x:c r="A165" s="46"/>
      <x:c r="B165" s="46"/>
      <x:c r="C165" s="50"/>
      <x:c r="D165" s="50"/>
      <x:c r="E165" s="54"/>
      <x:c r="F165" s="54"/>
      <x:c r="G165" s="56" t="n">
        <x:f>MAX(E165-F165,0)</x:f>
        <x:v>0</x:v>
      </x:c>
      <x:c r="H165" s="48" t="str">
        <x:f>IF(G165=0,"Paid",IF(TODAY()&gt;D165,"Overdue",IF(F165&gt;0,"Partial","Sent")))</x:f>
        <x:v>Paid</x:v>
      </x:c>
      <x:c r="I165" s="76" t="n">
        <x:f>IF(G165=0,0,MAX(TODAY()-C165,0))</x:f>
        <x:v>0</x:v>
      </x:c>
      <x:c r="J165" s="50"/>
      <x:c r="K165" s="72"/>
    </x:row>
    <x:row r="166">
      <x:c r="A166" s="46"/>
      <x:c r="B166" s="46"/>
      <x:c r="C166" s="50"/>
      <x:c r="D166" s="50"/>
      <x:c r="E166" s="54"/>
      <x:c r="F166" s="54"/>
      <x:c r="G166" s="56" t="n">
        <x:f>MAX(E166-F166,0)</x:f>
        <x:v>0</x:v>
      </x:c>
      <x:c r="H166" s="48" t="str">
        <x:f>IF(G166=0,"Paid",IF(TODAY()&gt;D166,"Overdue",IF(F166&gt;0,"Partial","Sent")))</x:f>
        <x:v>Paid</x:v>
      </x:c>
      <x:c r="I166" s="76" t="n">
        <x:f>IF(G166=0,0,MAX(TODAY()-C166,0))</x:f>
        <x:v>0</x:v>
      </x:c>
      <x:c r="J166" s="50"/>
      <x:c r="K166" s="72"/>
    </x:row>
    <x:row r="167">
      <x:c r="A167" s="46"/>
      <x:c r="B167" s="46"/>
      <x:c r="C167" s="50"/>
      <x:c r="D167" s="50"/>
      <x:c r="E167" s="54"/>
      <x:c r="F167" s="54"/>
      <x:c r="G167" s="56" t="n">
        <x:f>MAX(E167-F167,0)</x:f>
        <x:v>0</x:v>
      </x:c>
      <x:c r="H167" s="48" t="str">
        <x:f>IF(G167=0,"Paid",IF(TODAY()&gt;D167,"Overdue",IF(F167&gt;0,"Partial","Sent")))</x:f>
        <x:v>Paid</x:v>
      </x:c>
      <x:c r="I167" s="76" t="n">
        <x:f>IF(G167=0,0,MAX(TODAY()-C167,0))</x:f>
        <x:v>0</x:v>
      </x:c>
      <x:c r="J167" s="50"/>
      <x:c r="K167" s="72"/>
    </x:row>
    <x:row r="168">
      <x:c r="A168" s="46"/>
      <x:c r="B168" s="46"/>
      <x:c r="C168" s="50"/>
      <x:c r="D168" s="50"/>
      <x:c r="E168" s="54"/>
      <x:c r="F168" s="54"/>
      <x:c r="G168" s="56" t="n">
        <x:f>MAX(E168-F168,0)</x:f>
        <x:v>0</x:v>
      </x:c>
      <x:c r="H168" s="48" t="str">
        <x:f>IF(G168=0,"Paid",IF(TODAY()&gt;D168,"Overdue",IF(F168&gt;0,"Partial","Sent")))</x:f>
        <x:v>Paid</x:v>
      </x:c>
      <x:c r="I168" s="76" t="n">
        <x:f>IF(G168=0,0,MAX(TODAY()-C168,0))</x:f>
        <x:v>0</x:v>
      </x:c>
      <x:c r="J168" s="50"/>
      <x:c r="K168" s="72"/>
    </x:row>
    <x:row r="169">
      <x:c r="A169" s="46"/>
      <x:c r="B169" s="46"/>
      <x:c r="C169" s="50"/>
      <x:c r="D169" s="50"/>
      <x:c r="E169" s="54"/>
      <x:c r="F169" s="54"/>
      <x:c r="G169" s="56" t="n">
        <x:f>MAX(E169-F169,0)</x:f>
        <x:v>0</x:v>
      </x:c>
      <x:c r="H169" s="48" t="str">
        <x:f>IF(G169=0,"Paid",IF(TODAY()&gt;D169,"Overdue",IF(F169&gt;0,"Partial","Sent")))</x:f>
        <x:v>Paid</x:v>
      </x:c>
      <x:c r="I169" s="76" t="n">
        <x:f>IF(G169=0,0,MAX(TODAY()-C169,0))</x:f>
        <x:v>0</x:v>
      </x:c>
      <x:c r="J169" s="50"/>
      <x:c r="K169" s="72"/>
    </x:row>
    <x:row r="170">
      <x:c r="A170" s="46"/>
      <x:c r="B170" s="46"/>
      <x:c r="C170" s="50"/>
      <x:c r="D170" s="50"/>
      <x:c r="E170" s="54"/>
      <x:c r="F170" s="54"/>
      <x:c r="G170" s="56" t="n">
        <x:f>MAX(E170-F170,0)</x:f>
        <x:v>0</x:v>
      </x:c>
      <x:c r="H170" s="48" t="str">
        <x:f>IF(G170=0,"Paid",IF(TODAY()&gt;D170,"Overdue",IF(F170&gt;0,"Partial","Sent")))</x:f>
        <x:v>Paid</x:v>
      </x:c>
      <x:c r="I170" s="76" t="n">
        <x:f>IF(G170=0,0,MAX(TODAY()-C170,0))</x:f>
        <x:v>0</x:v>
      </x:c>
      <x:c r="J170" s="50"/>
      <x:c r="K170" s="72"/>
    </x:row>
    <x:row r="171">
      <x:c r="A171" s="46"/>
      <x:c r="B171" s="46"/>
      <x:c r="C171" s="50"/>
      <x:c r="D171" s="50"/>
      <x:c r="E171" s="54"/>
      <x:c r="F171" s="54"/>
      <x:c r="G171" s="56" t="n">
        <x:f>MAX(E171-F171,0)</x:f>
        <x:v>0</x:v>
      </x:c>
      <x:c r="H171" s="48" t="str">
        <x:f>IF(G171=0,"Paid",IF(TODAY()&gt;D171,"Overdue",IF(F171&gt;0,"Partial","Sent")))</x:f>
        <x:v>Paid</x:v>
      </x:c>
      <x:c r="I171" s="76" t="n">
        <x:f>IF(G171=0,0,MAX(TODAY()-C171,0))</x:f>
        <x:v>0</x:v>
      </x:c>
      <x:c r="J171" s="50"/>
      <x:c r="K171" s="72"/>
    </x:row>
    <x:row r="172">
      <x:c r="A172" s="46"/>
      <x:c r="B172" s="46"/>
      <x:c r="C172" s="50"/>
      <x:c r="D172" s="50"/>
      <x:c r="E172" s="54"/>
      <x:c r="F172" s="54"/>
      <x:c r="G172" s="56" t="n">
        <x:f>MAX(E172-F172,0)</x:f>
        <x:v>0</x:v>
      </x:c>
      <x:c r="H172" s="48" t="str">
        <x:f>IF(G172=0,"Paid",IF(TODAY()&gt;D172,"Overdue",IF(F172&gt;0,"Partial","Sent")))</x:f>
        <x:v>Paid</x:v>
      </x:c>
      <x:c r="I172" s="76" t="n">
        <x:f>IF(G172=0,0,MAX(TODAY()-C172,0))</x:f>
        <x:v>0</x:v>
      </x:c>
      <x:c r="J172" s="50"/>
      <x:c r="K172" s="72"/>
    </x:row>
    <x:row r="173">
      <x:c r="A173" s="46"/>
      <x:c r="B173" s="46"/>
      <x:c r="C173" s="50"/>
      <x:c r="D173" s="50"/>
      <x:c r="E173" s="54"/>
      <x:c r="F173" s="54"/>
      <x:c r="G173" s="56" t="n">
        <x:f>MAX(E173-F173,0)</x:f>
        <x:v>0</x:v>
      </x:c>
      <x:c r="H173" s="48" t="str">
        <x:f>IF(G173=0,"Paid",IF(TODAY()&gt;D173,"Overdue",IF(F173&gt;0,"Partial","Sent")))</x:f>
        <x:v>Paid</x:v>
      </x:c>
      <x:c r="I173" s="76" t="n">
        <x:f>IF(G173=0,0,MAX(TODAY()-C173,0))</x:f>
        <x:v>0</x:v>
      </x:c>
      <x:c r="J173" s="50"/>
      <x:c r="K173" s="72"/>
    </x:row>
    <x:row r="174">
      <x:c r="A174" s="46"/>
      <x:c r="B174" s="46"/>
      <x:c r="C174" s="50"/>
      <x:c r="D174" s="50"/>
      <x:c r="E174" s="54"/>
      <x:c r="F174" s="54"/>
      <x:c r="G174" s="56" t="n">
        <x:f>MAX(E174-F174,0)</x:f>
        <x:v>0</x:v>
      </x:c>
      <x:c r="H174" s="48" t="str">
        <x:f>IF(G174=0,"Paid",IF(TODAY()&gt;D174,"Overdue",IF(F174&gt;0,"Partial","Sent")))</x:f>
        <x:v>Paid</x:v>
      </x:c>
      <x:c r="I174" s="76" t="n">
        <x:f>IF(G174=0,0,MAX(TODAY()-C174,0))</x:f>
        <x:v>0</x:v>
      </x:c>
      <x:c r="J174" s="50"/>
      <x:c r="K174" s="72"/>
    </x:row>
    <x:row r="175">
      <x:c r="A175" s="46"/>
      <x:c r="B175" s="46"/>
      <x:c r="C175" s="50"/>
      <x:c r="D175" s="50"/>
      <x:c r="E175" s="54"/>
      <x:c r="F175" s="54"/>
      <x:c r="G175" s="56" t="n">
        <x:f>MAX(E175-F175,0)</x:f>
        <x:v>0</x:v>
      </x:c>
      <x:c r="H175" s="48" t="str">
        <x:f>IF(G175=0,"Paid",IF(TODAY()&gt;D175,"Overdue",IF(F175&gt;0,"Partial","Sent")))</x:f>
        <x:v>Paid</x:v>
      </x:c>
      <x:c r="I175" s="76" t="n">
        <x:f>IF(G175=0,0,MAX(TODAY()-C175,0))</x:f>
        <x:v>0</x:v>
      </x:c>
      <x:c r="J175" s="50"/>
      <x:c r="K175" s="72"/>
    </x:row>
    <x:row r="176">
      <x:c r="A176" s="46"/>
      <x:c r="B176" s="46"/>
      <x:c r="C176" s="50"/>
      <x:c r="D176" s="50"/>
      <x:c r="E176" s="54"/>
      <x:c r="F176" s="54"/>
      <x:c r="G176" s="56" t="n">
        <x:f>MAX(E176-F176,0)</x:f>
        <x:v>0</x:v>
      </x:c>
      <x:c r="H176" s="48" t="str">
        <x:f>IF(G176=0,"Paid",IF(TODAY()&gt;D176,"Overdue",IF(F176&gt;0,"Partial","Sent")))</x:f>
        <x:v>Paid</x:v>
      </x:c>
      <x:c r="I176" s="76" t="n">
        <x:f>IF(G176=0,0,MAX(TODAY()-C176,0))</x:f>
        <x:v>0</x:v>
      </x:c>
      <x:c r="J176" s="50"/>
      <x:c r="K176" s="72"/>
    </x:row>
    <x:row r="177">
      <x:c r="A177" s="46"/>
      <x:c r="B177" s="46"/>
      <x:c r="C177" s="50"/>
      <x:c r="D177" s="50"/>
      <x:c r="E177" s="54"/>
      <x:c r="F177" s="54"/>
      <x:c r="G177" s="56" t="n">
        <x:f>MAX(E177-F177,0)</x:f>
        <x:v>0</x:v>
      </x:c>
      <x:c r="H177" s="48" t="str">
        <x:f>IF(G177=0,"Paid",IF(TODAY()&gt;D177,"Overdue",IF(F177&gt;0,"Partial","Sent")))</x:f>
        <x:v>Paid</x:v>
      </x:c>
      <x:c r="I177" s="76" t="n">
        <x:f>IF(G177=0,0,MAX(TODAY()-C177,0))</x:f>
        <x:v>0</x:v>
      </x:c>
      <x:c r="J177" s="50"/>
      <x:c r="K177" s="72"/>
    </x:row>
    <x:row r="178">
      <x:c r="A178" s="46"/>
      <x:c r="B178" s="46"/>
      <x:c r="C178" s="50"/>
      <x:c r="D178" s="50"/>
      <x:c r="E178" s="54"/>
      <x:c r="F178" s="54"/>
      <x:c r="G178" s="56" t="n">
        <x:f>MAX(E178-F178,0)</x:f>
        <x:v>0</x:v>
      </x:c>
      <x:c r="H178" s="48" t="str">
        <x:f>IF(G178=0,"Paid",IF(TODAY()&gt;D178,"Overdue",IF(F178&gt;0,"Partial","Sent")))</x:f>
        <x:v>Paid</x:v>
      </x:c>
      <x:c r="I178" s="76" t="n">
        <x:f>IF(G178=0,0,MAX(TODAY()-C178,0))</x:f>
        <x:v>0</x:v>
      </x:c>
      <x:c r="J178" s="50"/>
      <x:c r="K178" s="72"/>
    </x:row>
    <x:row r="179">
      <x:c r="A179" s="46"/>
      <x:c r="B179" s="46"/>
      <x:c r="C179" s="50"/>
      <x:c r="D179" s="50"/>
      <x:c r="E179" s="54"/>
      <x:c r="F179" s="54"/>
      <x:c r="G179" s="56" t="n">
        <x:f>MAX(E179-F179,0)</x:f>
        <x:v>0</x:v>
      </x:c>
      <x:c r="H179" s="48" t="str">
        <x:f>IF(G179=0,"Paid",IF(TODAY()&gt;D179,"Overdue",IF(F179&gt;0,"Partial","Sent")))</x:f>
        <x:v>Paid</x:v>
      </x:c>
      <x:c r="I179" s="76" t="n">
        <x:f>IF(G179=0,0,MAX(TODAY()-C179,0))</x:f>
        <x:v>0</x:v>
      </x:c>
      <x:c r="J179" s="50"/>
      <x:c r="K179" s="72"/>
    </x:row>
    <x:row r="180">
      <x:c r="A180" s="46"/>
      <x:c r="B180" s="46"/>
      <x:c r="C180" s="50"/>
      <x:c r="D180" s="50"/>
      <x:c r="E180" s="54"/>
      <x:c r="F180" s="54"/>
      <x:c r="G180" s="56" t="n">
        <x:f>MAX(E180-F180,0)</x:f>
        <x:v>0</x:v>
      </x:c>
      <x:c r="H180" s="48" t="str">
        <x:f>IF(G180=0,"Paid",IF(TODAY()&gt;D180,"Overdue",IF(F180&gt;0,"Partial","Sent")))</x:f>
        <x:v>Paid</x:v>
      </x:c>
      <x:c r="I180" s="76" t="n">
        <x:f>IF(G180=0,0,MAX(TODAY()-C180,0))</x:f>
        <x:v>0</x:v>
      </x:c>
      <x:c r="J180" s="50"/>
      <x:c r="K180" s="72"/>
    </x:row>
    <x:row r="181">
      <x:c r="A181" s="46"/>
      <x:c r="B181" s="46"/>
      <x:c r="C181" s="50"/>
      <x:c r="D181" s="50"/>
      <x:c r="E181" s="54"/>
      <x:c r="F181" s="54"/>
      <x:c r="G181" s="56" t="n">
        <x:f>MAX(E181-F181,0)</x:f>
        <x:v>0</x:v>
      </x:c>
      <x:c r="H181" s="48" t="str">
        <x:f>IF(G181=0,"Paid",IF(TODAY()&gt;D181,"Overdue",IF(F181&gt;0,"Partial","Sent")))</x:f>
        <x:v>Paid</x:v>
      </x:c>
      <x:c r="I181" s="76" t="n">
        <x:f>IF(G181=0,0,MAX(TODAY()-C181,0))</x:f>
        <x:v>0</x:v>
      </x:c>
      <x:c r="J181" s="50"/>
      <x:c r="K181" s="72"/>
    </x:row>
    <x:row r="182">
      <x:c r="A182" s="46"/>
      <x:c r="B182" s="46"/>
      <x:c r="C182" s="50"/>
      <x:c r="D182" s="50"/>
      <x:c r="E182" s="54"/>
      <x:c r="F182" s="54"/>
      <x:c r="G182" s="56" t="n">
        <x:f>MAX(E182-F182,0)</x:f>
        <x:v>0</x:v>
      </x:c>
      <x:c r="H182" s="48" t="str">
        <x:f>IF(G182=0,"Paid",IF(TODAY()&gt;D182,"Overdue",IF(F182&gt;0,"Partial","Sent")))</x:f>
        <x:v>Paid</x:v>
      </x:c>
      <x:c r="I182" s="76" t="n">
        <x:f>IF(G182=0,0,MAX(TODAY()-C182,0))</x:f>
        <x:v>0</x:v>
      </x:c>
      <x:c r="J182" s="50"/>
      <x:c r="K182" s="72"/>
    </x:row>
    <x:row r="183">
      <x:c r="A183" s="46"/>
      <x:c r="B183" s="46"/>
      <x:c r="C183" s="50"/>
      <x:c r="D183" s="50"/>
      <x:c r="E183" s="54"/>
      <x:c r="F183" s="54"/>
      <x:c r="G183" s="56" t="n">
        <x:f>MAX(E183-F183,0)</x:f>
        <x:v>0</x:v>
      </x:c>
      <x:c r="H183" s="48" t="str">
        <x:f>IF(G183=0,"Paid",IF(TODAY()&gt;D183,"Overdue",IF(F183&gt;0,"Partial","Sent")))</x:f>
        <x:v>Paid</x:v>
      </x:c>
      <x:c r="I183" s="76" t="n">
        <x:f>IF(G183=0,0,MAX(TODAY()-C183,0))</x:f>
        <x:v>0</x:v>
      </x:c>
      <x:c r="J183" s="50"/>
      <x:c r="K183" s="72"/>
    </x:row>
    <x:row r="184">
      <x:c r="A184" s="46"/>
      <x:c r="B184" s="46"/>
      <x:c r="C184" s="50"/>
      <x:c r="D184" s="50"/>
      <x:c r="E184" s="54"/>
      <x:c r="F184" s="54"/>
      <x:c r="G184" s="56" t="n">
        <x:f>MAX(E184-F184,0)</x:f>
        <x:v>0</x:v>
      </x:c>
      <x:c r="H184" s="48" t="str">
        <x:f>IF(G184=0,"Paid",IF(TODAY()&gt;D184,"Overdue",IF(F184&gt;0,"Partial","Sent")))</x:f>
        <x:v>Paid</x:v>
      </x:c>
      <x:c r="I184" s="76" t="n">
        <x:f>IF(G184=0,0,MAX(TODAY()-C184,0))</x:f>
        <x:v>0</x:v>
      </x:c>
      <x:c r="J184" s="50"/>
      <x:c r="K184" s="72"/>
    </x:row>
    <x:row r="185">
      <x:c r="A185" s="46"/>
      <x:c r="B185" s="46"/>
      <x:c r="C185" s="50"/>
      <x:c r="D185" s="50"/>
      <x:c r="E185" s="54"/>
      <x:c r="F185" s="54"/>
      <x:c r="G185" s="56" t="n">
        <x:f>MAX(E185-F185,0)</x:f>
        <x:v>0</x:v>
      </x:c>
      <x:c r="H185" s="48" t="str">
        <x:f>IF(G185=0,"Paid",IF(TODAY()&gt;D185,"Overdue",IF(F185&gt;0,"Partial","Sent")))</x:f>
        <x:v>Paid</x:v>
      </x:c>
      <x:c r="I185" s="76" t="n">
        <x:f>IF(G185=0,0,MAX(TODAY()-C185,0))</x:f>
        <x:v>0</x:v>
      </x:c>
      <x:c r="J185" s="50"/>
      <x:c r="K185" s="72"/>
    </x:row>
    <x:row r="186">
      <x:c r="A186" s="46"/>
      <x:c r="B186" s="46"/>
      <x:c r="C186" s="50"/>
      <x:c r="D186" s="50"/>
      <x:c r="E186" s="54"/>
      <x:c r="F186" s="54"/>
      <x:c r="G186" s="56" t="n">
        <x:f>MAX(E186-F186,0)</x:f>
        <x:v>0</x:v>
      </x:c>
      <x:c r="H186" s="48" t="str">
        <x:f>IF(G186=0,"Paid",IF(TODAY()&gt;D186,"Overdue",IF(F186&gt;0,"Partial","Sent")))</x:f>
        <x:v>Paid</x:v>
      </x:c>
      <x:c r="I186" s="76" t="n">
        <x:f>IF(G186=0,0,MAX(TODAY()-C186,0))</x:f>
        <x:v>0</x:v>
      </x:c>
      <x:c r="J186" s="50"/>
      <x:c r="K186" s="72"/>
    </x:row>
    <x:row r="187">
      <x:c r="A187" s="46"/>
      <x:c r="B187" s="46"/>
      <x:c r="C187" s="50"/>
      <x:c r="D187" s="50"/>
      <x:c r="E187" s="54"/>
      <x:c r="F187" s="54"/>
      <x:c r="G187" s="56" t="n">
        <x:f>MAX(E187-F187,0)</x:f>
        <x:v>0</x:v>
      </x:c>
      <x:c r="H187" s="48" t="str">
        <x:f>IF(G187=0,"Paid",IF(TODAY()&gt;D187,"Overdue",IF(F187&gt;0,"Partial","Sent")))</x:f>
        <x:v>Paid</x:v>
      </x:c>
      <x:c r="I187" s="76" t="n">
        <x:f>IF(G187=0,0,MAX(TODAY()-C187,0))</x:f>
        <x:v>0</x:v>
      </x:c>
      <x:c r="J187" s="50"/>
      <x:c r="K187" s="72"/>
    </x:row>
    <x:row r="188">
      <x:c r="A188" s="46"/>
      <x:c r="B188" s="46"/>
      <x:c r="C188" s="50"/>
      <x:c r="D188" s="50"/>
      <x:c r="E188" s="54"/>
      <x:c r="F188" s="54"/>
      <x:c r="G188" s="56" t="n">
        <x:f>MAX(E188-F188,0)</x:f>
        <x:v>0</x:v>
      </x:c>
      <x:c r="H188" s="48" t="str">
        <x:f>IF(G188=0,"Paid",IF(TODAY()&gt;D188,"Overdue",IF(F188&gt;0,"Partial","Sent")))</x:f>
        <x:v>Paid</x:v>
      </x:c>
      <x:c r="I188" s="76" t="n">
        <x:f>IF(G188=0,0,MAX(TODAY()-C188,0))</x:f>
        <x:v>0</x:v>
      </x:c>
      <x:c r="J188" s="50"/>
      <x:c r="K188" s="72"/>
    </x:row>
    <x:row r="189">
      <x:c r="A189" s="46"/>
      <x:c r="B189" s="46"/>
      <x:c r="C189" s="50"/>
      <x:c r="D189" s="50"/>
      <x:c r="E189" s="54"/>
      <x:c r="F189" s="54"/>
      <x:c r="G189" s="56" t="n">
        <x:f>MAX(E189-F189,0)</x:f>
        <x:v>0</x:v>
      </x:c>
      <x:c r="H189" s="48" t="str">
        <x:f>IF(G189=0,"Paid",IF(TODAY()&gt;D189,"Overdue",IF(F189&gt;0,"Partial","Sent")))</x:f>
        <x:v>Paid</x:v>
      </x:c>
      <x:c r="I189" s="76" t="n">
        <x:f>IF(G189=0,0,MAX(TODAY()-C189,0))</x:f>
        <x:v>0</x:v>
      </x:c>
      <x:c r="J189" s="50"/>
      <x:c r="K189" s="72"/>
    </x:row>
    <x:row r="190">
      <x:c r="A190" s="46"/>
      <x:c r="B190" s="46"/>
      <x:c r="C190" s="50"/>
      <x:c r="D190" s="50"/>
      <x:c r="E190" s="54"/>
      <x:c r="F190" s="54"/>
      <x:c r="G190" s="56" t="n">
        <x:f>MAX(E190-F190,0)</x:f>
        <x:v>0</x:v>
      </x:c>
      <x:c r="H190" s="48" t="str">
        <x:f>IF(G190=0,"Paid",IF(TODAY()&gt;D190,"Overdue",IF(F190&gt;0,"Partial","Sent")))</x:f>
        <x:v>Paid</x:v>
      </x:c>
      <x:c r="I190" s="76" t="n">
        <x:f>IF(G190=0,0,MAX(TODAY()-C190,0))</x:f>
        <x:v>0</x:v>
      </x:c>
      <x:c r="J190" s="50"/>
      <x:c r="K190" s="72"/>
    </x:row>
    <x:row r="191">
      <x:c r="A191" s="46"/>
      <x:c r="B191" s="46"/>
      <x:c r="C191" s="50"/>
      <x:c r="D191" s="50"/>
      <x:c r="E191" s="54"/>
      <x:c r="F191" s="54"/>
      <x:c r="G191" s="56" t="n">
        <x:f>MAX(E191-F191,0)</x:f>
        <x:v>0</x:v>
      </x:c>
      <x:c r="H191" s="48" t="str">
        <x:f>IF(G191=0,"Paid",IF(TODAY()&gt;D191,"Overdue",IF(F191&gt;0,"Partial","Sent")))</x:f>
        <x:v>Paid</x:v>
      </x:c>
      <x:c r="I191" s="76" t="n">
        <x:f>IF(G191=0,0,MAX(TODAY()-C191,0))</x:f>
        <x:v>0</x:v>
      </x:c>
      <x:c r="J191" s="50"/>
      <x:c r="K191" s="72"/>
    </x:row>
    <x:row r="192">
      <x:c r="A192" s="46"/>
      <x:c r="B192" s="46"/>
      <x:c r="C192" s="50"/>
      <x:c r="D192" s="50"/>
      <x:c r="E192" s="54"/>
      <x:c r="F192" s="54"/>
      <x:c r="G192" s="56" t="n">
        <x:f>MAX(E192-F192,0)</x:f>
        <x:v>0</x:v>
      </x:c>
      <x:c r="H192" s="48" t="str">
        <x:f>IF(G192=0,"Paid",IF(TODAY()&gt;D192,"Overdue",IF(F192&gt;0,"Partial","Sent")))</x:f>
        <x:v>Paid</x:v>
      </x:c>
      <x:c r="I192" s="76" t="n">
        <x:f>IF(G192=0,0,MAX(TODAY()-C192,0))</x:f>
        <x:v>0</x:v>
      </x:c>
      <x:c r="J192" s="50"/>
      <x:c r="K192" s="72"/>
    </x:row>
    <x:row r="193">
      <x:c r="A193" s="46"/>
      <x:c r="B193" s="46"/>
      <x:c r="C193" s="50"/>
      <x:c r="D193" s="50"/>
      <x:c r="E193" s="54"/>
      <x:c r="F193" s="54"/>
      <x:c r="G193" s="56" t="n">
        <x:f>MAX(E193-F193,0)</x:f>
        <x:v>0</x:v>
      </x:c>
      <x:c r="H193" s="48" t="str">
        <x:f>IF(G193=0,"Paid",IF(TODAY()&gt;D193,"Overdue",IF(F193&gt;0,"Partial","Sent")))</x:f>
        <x:v>Paid</x:v>
      </x:c>
      <x:c r="I193" s="76" t="n">
        <x:f>IF(G193=0,0,MAX(TODAY()-C193,0))</x:f>
        <x:v>0</x:v>
      </x:c>
      <x:c r="J193" s="50"/>
      <x:c r="K193" s="72"/>
    </x:row>
    <x:row r="194">
      <x:c r="A194" s="46"/>
      <x:c r="B194" s="46"/>
      <x:c r="C194" s="50"/>
      <x:c r="D194" s="50"/>
      <x:c r="E194" s="54"/>
      <x:c r="F194" s="54"/>
      <x:c r="G194" s="56" t="n">
        <x:f>MAX(E194-F194,0)</x:f>
        <x:v>0</x:v>
      </x:c>
      <x:c r="H194" s="48" t="str">
        <x:f>IF(G194=0,"Paid",IF(TODAY()&gt;D194,"Overdue",IF(F194&gt;0,"Partial","Sent")))</x:f>
        <x:v>Paid</x:v>
      </x:c>
      <x:c r="I194" s="76" t="n">
        <x:f>IF(G194=0,0,MAX(TODAY()-C194,0))</x:f>
        <x:v>0</x:v>
      </x:c>
      <x:c r="J194" s="50"/>
      <x:c r="K194" s="72"/>
    </x:row>
    <x:row r="195">
      <x:c r="A195" s="46"/>
      <x:c r="B195" s="46"/>
      <x:c r="C195" s="50"/>
      <x:c r="D195" s="50"/>
      <x:c r="E195" s="54"/>
      <x:c r="F195" s="54"/>
      <x:c r="G195" s="56" t="n">
        <x:f>MAX(E195-F195,0)</x:f>
        <x:v>0</x:v>
      </x:c>
      <x:c r="H195" s="48" t="str">
        <x:f>IF(G195=0,"Paid",IF(TODAY()&gt;D195,"Overdue",IF(F195&gt;0,"Partial","Sent")))</x:f>
        <x:v>Paid</x:v>
      </x:c>
      <x:c r="I195" s="76" t="n">
        <x:f>IF(G195=0,0,MAX(TODAY()-C195,0))</x:f>
        <x:v>0</x:v>
      </x:c>
      <x:c r="J195" s="50"/>
      <x:c r="K195" s="72"/>
    </x:row>
    <x:row r="196">
      <x:c r="A196" s="46"/>
      <x:c r="B196" s="46"/>
      <x:c r="C196" s="50"/>
      <x:c r="D196" s="50"/>
      <x:c r="E196" s="54"/>
      <x:c r="F196" s="54"/>
      <x:c r="G196" s="56" t="n">
        <x:f>MAX(E196-F196,0)</x:f>
        <x:v>0</x:v>
      </x:c>
      <x:c r="H196" s="48" t="str">
        <x:f>IF(G196=0,"Paid",IF(TODAY()&gt;D196,"Overdue",IF(F196&gt;0,"Partial","Sent")))</x:f>
        <x:v>Paid</x:v>
      </x:c>
      <x:c r="I196" s="76" t="n">
        <x:f>IF(G196=0,0,MAX(TODAY()-C196,0))</x:f>
        <x:v>0</x:v>
      </x:c>
      <x:c r="J196" s="50"/>
      <x:c r="K196" s="72"/>
    </x:row>
    <x:row r="197">
      <x:c r="A197" s="46"/>
      <x:c r="B197" s="46"/>
      <x:c r="C197" s="50"/>
      <x:c r="D197" s="50"/>
      <x:c r="E197" s="54"/>
      <x:c r="F197" s="54"/>
      <x:c r="G197" s="56" t="n">
        <x:f>MAX(E197-F197,0)</x:f>
        <x:v>0</x:v>
      </x:c>
      <x:c r="H197" s="48" t="str">
        <x:f>IF(G197=0,"Paid",IF(TODAY()&gt;D197,"Overdue",IF(F197&gt;0,"Partial","Sent")))</x:f>
        <x:v>Paid</x:v>
      </x:c>
      <x:c r="I197" s="76" t="n">
        <x:f>IF(G197=0,0,MAX(TODAY()-C197,0))</x:f>
        <x:v>0</x:v>
      </x:c>
      <x:c r="J197" s="50"/>
      <x:c r="K197" s="72"/>
    </x:row>
    <x:row r="198">
      <x:c r="A198" s="46"/>
      <x:c r="B198" s="46"/>
      <x:c r="C198" s="50"/>
      <x:c r="D198" s="50"/>
      <x:c r="E198" s="54"/>
      <x:c r="F198" s="54"/>
      <x:c r="G198" s="56" t="n">
        <x:f>MAX(E198-F198,0)</x:f>
        <x:v>0</x:v>
      </x:c>
      <x:c r="H198" s="48" t="str">
        <x:f>IF(G198=0,"Paid",IF(TODAY()&gt;D198,"Overdue",IF(F198&gt;0,"Partial","Sent")))</x:f>
        <x:v>Paid</x:v>
      </x:c>
      <x:c r="I198" s="76" t="n">
        <x:f>IF(G198=0,0,MAX(TODAY()-C198,0))</x:f>
        <x:v>0</x:v>
      </x:c>
      <x:c r="J198" s="50"/>
      <x:c r="K198" s="72"/>
    </x:row>
    <x:row r="199">
      <x:c r="A199" s="46"/>
      <x:c r="B199" s="46"/>
      <x:c r="C199" s="50"/>
      <x:c r="D199" s="50"/>
      <x:c r="E199" s="54"/>
      <x:c r="F199" s="54"/>
      <x:c r="G199" s="56" t="n">
        <x:f>MAX(E199-F199,0)</x:f>
        <x:v>0</x:v>
      </x:c>
      <x:c r="H199" s="48" t="str">
        <x:f>IF(G199=0,"Paid",IF(TODAY()&gt;D199,"Overdue",IF(F199&gt;0,"Partial","Sent")))</x:f>
        <x:v>Paid</x:v>
      </x:c>
      <x:c r="I199" s="76" t="n">
        <x:f>IF(G199=0,0,MAX(TODAY()-C199,0))</x:f>
        <x:v>0</x:v>
      </x:c>
      <x:c r="J199" s="50"/>
      <x:c r="K199" s="72"/>
    </x:row>
    <x:row r="200">
      <x:c r="A200" s="46"/>
      <x:c r="B200" s="46"/>
      <x:c r="C200" s="50"/>
      <x:c r="D200" s="50"/>
      <x:c r="E200" s="54"/>
      <x:c r="F200" s="54"/>
      <x:c r="G200" s="56" t="n">
        <x:f>MAX(E200-F200,0)</x:f>
        <x:v>0</x:v>
      </x:c>
      <x:c r="H200" s="48" t="str">
        <x:f>IF(G200=0,"Paid",IF(TODAY()&gt;D200,"Overdue",IF(F200&gt;0,"Partial","Sent")))</x:f>
        <x:v>Paid</x:v>
      </x:c>
      <x:c r="I200" s="76" t="n">
        <x:f>IF(G200=0,0,MAX(TODAY()-C200,0))</x:f>
        <x:v>0</x:v>
      </x:c>
      <x:c r="J200" s="50"/>
      <x:c r="K200" s="72"/>
    </x:row>
  </x:sheetData>
  <x:mergeCells>
    <x:mergeCell ref="A1:K1"/>
  </x:mergeCells>
  <x:conditionalFormatting sqref="H3:H200">
    <x:cfRule type="expression" dxfId="1" priority="1">
      <x:formula>H3="Overdue"</x:formula>
    </x:cfRule>
    <x:cfRule type="expression" dxfId="2" priority="2">
      <x:formula>H3="Paid"</x:formula>
    </x:cfRule>
  </x:conditionalFormatting>
  <x:conditionalFormatting sqref="G3:G200">
    <x:cfRule type="dataBar" priority="3">
      <x:dataBar>
        <x:cfvo type="min"/>
        <x:cfvo type="max"/>
        <x:color rgb="FFD6A84B"/>
      </x:dataBar>
      <x:extLst>
        <x:ext xmlns:x14="http://schemas.microsoft.com/office/spreadsheetml/2009/9/main" uri="{B025F937-C7B1-47D3-B67F-A62EFF666E3E}">
          <x14:id>{A12616DE-595F-0765-AD8C-58013714BCE5}</x14:id>
        </x:ext>
      </x:extLst>
    </x:cfRule>
  </x:conditionalFormatting>
  <x:dataValidations count="2">
    <x:dataValidation type="list" sqref="H3:H200">
      <x:formula1>Categories!$E$4:$E$8</x:formula1>
    </x:dataValidation>
    <x:dataValidation type="list" sqref="B3:B200">
      <x:formula1>Categories!$C$4:$C$10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beb7a4c3a74a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A12616DE-595F-0765-AD8C-58013714BCE5}">
            <x14:dataBar gradient="1">
              <x14:cfvo type="min"/>
              <x14:cfvo type="max"/>
              <x14:fillColor rgb="FFD6A84B"/>
            </x14:dataBar>
          </x14:cfRule>
          <xm:sqref>G3:G200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32" customHeight="1">
      <x:c r="A1" s="5" t="str">
        <x:v>Setup Lists — Edit These for Each Client</x:v>
      </x:c>
    </x:row>
    <x:row r="3">
      <x:c r="A3" s="20" t="str">
        <x:v>Transaction Type</x:v>
      </x:c>
      <x:c r="B3" s="21" t="str">
        <x:v>Category</x:v>
      </x:c>
      <x:c r="C3" s="21" t="str">
        <x:v>Customer / Project</x:v>
      </x:c>
      <x:c r="D3" s="21" t="str">
        <x:v>Payment Status</x:v>
      </x:c>
      <x:c r="E3" s="21" t="str">
        <x:v>Invoice Status</x:v>
      </x:c>
      <x:c r="F3" s="22" t="str">
        <x:v>Month</x:v>
      </x:c>
    </x:row>
    <x:row r="4">
      <x:c r="A4" t="str">
        <x:v>Revenue</x:v>
      </x:c>
      <x:c r="B4" t="str">
        <x:v>Sales Revenue</x:v>
      </x:c>
      <x:c r="C4" t="str">
        <x:v>Aspen Ridge HOA</x:v>
      </x:c>
      <x:c r="D4" t="str">
        <x:v>Paid</x:v>
      </x:c>
      <x:c r="E4" t="str">
        <x:v>Draft</x:v>
      </x:c>
      <x:c r="F4" s="36" t="n">
        <x:v>46023</x:v>
      </x:c>
    </x:row>
    <x:row r="5">
      <x:c r="A5" t="str">
        <x:v>Expense</x:v>
      </x:c>
      <x:c r="B5" t="str">
        <x:v>Other Revenue</x:v>
      </x:c>
      <x:c r="C5" t="str">
        <x:v>Boulder Build Co.</x:v>
      </x:c>
      <x:c r="D5" t="str">
        <x:v>Unpaid</x:v>
      </x:c>
      <x:c r="E5" t="str">
        <x:v>Sent</x:v>
      </x:c>
      <x:c r="F5" s="36" t="n">
        <x:v>46054</x:v>
      </x:c>
    </x:row>
    <x:row r="6">
      <x:c r="B6" t="str">
        <x:v>Materials</x:v>
      </x:c>
      <x:c r="C6" t="str">
        <x:v>Flatirons Property Mgmt</x:v>
      </x:c>
      <x:c r="D6" t="str">
        <x:v>Partial</x:v>
      </x:c>
      <x:c r="E6" t="str">
        <x:v>Partial</x:v>
      </x:c>
      <x:c r="F6" s="36" t="n">
        <x:v>46082</x:v>
      </x:c>
    </x:row>
    <x:row r="7">
      <x:c r="B7" t="str">
        <x:v>Subcontractors</x:v>
      </x:c>
      <x:c r="C7" t="str">
        <x:v>Green Valley Homes</x:v>
      </x:c>
      <x:c r="E7" t="str">
        <x:v>Paid</x:v>
      </x:c>
      <x:c r="F7" s="36" t="n">
        <x:v>46113</x:v>
      </x:c>
    </x:row>
    <x:row r="8">
      <x:c r="B8" t="str">
        <x:v>Payroll</x:v>
      </x:c>
      <x:c r="C8" t="str">
        <x:v>Peak Fitness</x:v>
      </x:c>
      <x:c r="E8" t="str">
        <x:v>Overdue</x:v>
      </x:c>
      <x:c r="F8" s="36" t="n">
        <x:v>46143</x:v>
      </x:c>
    </x:row>
    <x:row r="9">
      <x:c r="B9" t="str">
        <x:v>Fuel &amp; Vehicle</x:v>
      </x:c>
      <x:c r="C9" t="str">
        <x:v>Redstone Apartments</x:v>
      </x:c>
      <x:c r="F9" s="36" t="n">
        <x:v>46174</x:v>
      </x:c>
    </x:row>
    <x:row r="10">
      <x:c r="B10" t="str">
        <x:v>Rent</x:v>
      </x:c>
      <x:c r="C10" t="str">
        <x:v>Walk-In / Other</x:v>
      </x:c>
      <x:c r="F10" s="36" t="n">
        <x:v>46204</x:v>
      </x:c>
    </x:row>
    <x:row r="11">
      <x:c r="B11" t="str">
        <x:v>Insurance</x:v>
      </x:c>
      <x:c r="F11" s="36" t="n">
        <x:v>46235</x:v>
      </x:c>
    </x:row>
    <x:row r="12">
      <x:c r="B12" t="str">
        <x:v>Software</x:v>
      </x:c>
      <x:c r="F12" s="36" t="n">
        <x:v>46266</x:v>
      </x:c>
    </x:row>
    <x:row r="13">
      <x:c r="B13" t="str">
        <x:v>Marketing</x:v>
      </x:c>
      <x:c r="F13" s="36" t="n">
        <x:v>46296</x:v>
      </x:c>
    </x:row>
    <x:row r="14">
      <x:c r="B14" t="str">
        <x:v>Meals</x:v>
      </x:c>
      <x:c r="F14" s="36" t="n">
        <x:v>46327</x:v>
      </x:c>
    </x:row>
    <x:row r="15">
      <x:c r="B15" t="str">
        <x:v>Professional Fees</x:v>
      </x:c>
      <x:c r="F15" s="36" t="n">
        <x:v>46357</x:v>
      </x:c>
    </x:row>
    <x:row r="16">
      <x:c r="B16" t="str">
        <x:v>Taxes &amp; Licenses</x:v>
      </x:c>
    </x:row>
    <x:row r="17">
      <x:c r="B17" t="str">
        <x:v>Utilities</x:v>
      </x:c>
    </x:row>
    <x:row r="18">
      <x:c r="B18" t="str">
        <x:v>Equipment</x:v>
      </x:c>
    </x:row>
    <x:row r="19">
      <x:c r="B19" t="str">
        <x:v>Other Expense</x:v>
      </x:c>
    </x:row>
    <x:row r="20">
      <x:c r="A20" s="39" t="str">
        <x:v>Client Setup Notes</x:v>
      </x:c>
      <x:c r="B20" s="39"/>
      <x:c r="C20" s="39"/>
      <x:c r="D20" s="39"/>
      <x:c r="E20" s="39"/>
      <x:c r="F20" s="39"/>
    </x:row>
    <x:row r="21">
      <x:c r="A21" s="44" t="str">
        <x:v>1. Replace the customer/project list with the client's actual customers or jobs.</x:v>
      </x:c>
      <x:c r="B21" s="44"/>
      <x:c r="C21" s="44"/>
      <x:c r="D21" s="44"/>
      <x:c r="E21" s="44"/>
      <x:c r="F21" s="44"/>
    </x:row>
    <x:row r="22">
      <x:c r="A22" s="44" t="str">
        <x:v>2. Adjust categories only when needed; keep them consistent month to month.</x:v>
      </x:c>
      <x:c r="B22" s="44"/>
      <x:c r="C22" s="44"/>
      <x:c r="D22" s="44"/>
      <x:c r="E22" s="44"/>
      <x:c r="F22" s="44"/>
    </x:row>
    <x:row r="23">
      <x:c r="A23" s="44" t="str">
        <x:v>3. Blue-font cells are intended for manual entry. Formula cells are black.</x:v>
      </x:c>
      <x:c r="B23" s="44"/>
      <x:c r="C23" s="44"/>
      <x:c r="D23" s="44"/>
      <x:c r="E23" s="44"/>
      <x:c r="F23" s="44"/>
    </x:row>
  </x:sheetData>
  <x:mergeCells>
    <x:mergeCell ref="A1:F1"/>
    <x:mergeCell ref="A20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40" hidden="0" customWidth="1"/>
    <x:col min="4" max="4" width="18" hidden="0" customWidth="1"/>
  </x:cols>
  <x:sheetData>
    <x:row r="1" ht="32" customHeight="1">
      <x:c r="A1" s="5" t="str">
        <x:v>How to Use This Workbook</x:v>
      </x:c>
    </x:row>
    <x:row r="3">
      <x:c r="A3" s="20" t="str">
        <x:v>Step</x:v>
      </x:c>
      <x:c r="B3" s="21" t="str">
        <x:v>What to Do</x:v>
      </x:c>
      <x:c r="C3" s="21" t="str">
        <x:v>Why It Matters</x:v>
      </x:c>
      <x:c r="D3" s="21" t="str">
        <x:v>Who Updates It</x:v>
      </x:c>
    </x:row>
    <x:row r="4">
      <x:c r="A4" s="232" t="str">
        <x:v>1</x:v>
      </x:c>
      <x:c r="B4" s="42" t="str">
        <x:v>Open the Categories tab and replace the sample customer/project names.</x:v>
      </x:c>
      <x:c r="C4" s="42" t="str">
        <x:v>Makes dropdowns and reports client-specific.</x:v>
      </x:c>
      <x:c r="D4" s="42" t="str">
        <x:v>You</x:v>
      </x:c>
    </x:row>
    <x:row r="5">
      <x:c r="A5" s="232" t="str">
        <x:v>2</x:v>
      </x:c>
      <x:c r="B5" s="42" t="str">
        <x:v>Paste bank and credit-card activity into the Transactions tab.</x:v>
      </x:c>
      <x:c r="C5" s="42" t="str">
        <x:v>Creates one organized source of truth.</x:v>
      </x:c>
      <x:c r="D5" s="42" t="str">
        <x:v>You or client</x:v>
      </x:c>
    </x:row>
    <x:row r="6">
      <x:c r="A6" s="232" t="str">
        <x:v>3</x:v>
      </x:c>
      <x:c r="B6" s="42" t="str">
        <x:v>Assign Type, Category, Customer/Project, and Payment Status.</x:v>
      </x:c>
      <x:c r="C6" s="42" t="str">
        <x:v>Drives all dashboard calculations.</x:v>
      </x:c>
      <x:c r="D6" s="42" t="str">
        <x:v>You</x:v>
      </x:c>
    </x:row>
    <x:row r="7">
      <x:c r="A7" s="232" t="str">
        <x:v>4</x:v>
      </x:c>
      <x:c r="B7" s="42" t="str">
        <x:v>Review every row flagged 'Yes' in Needs Review.</x:v>
      </x:c>
      <x:c r="C7" s="42" t="str">
        <x:v>Prevents incomplete or incorrectly categorized transactions.</x:v>
      </x:c>
      <x:c r="D7" s="42" t="str">
        <x:v>You + client</x:v>
      </x:c>
    </x:row>
    <x:row r="8">
      <x:c r="A8" s="232" t="str">
        <x:v>5</x:v>
      </x:c>
      <x:c r="B8" s="42" t="str">
        <x:v>Update invoices and payments in the A_R Tracker tab.</x:v>
      </x:c>
      <x:c r="C8" s="42" t="str">
        <x:v>Shows outstanding balances and collection risk.</x:v>
      </x:c>
      <x:c r="D8" s="42" t="str">
        <x:v>You or client</x:v>
      </x:c>
    </x:row>
    <x:row r="9">
      <x:c r="A9" s="232" t="str">
        <x:v>6</x:v>
      </x:c>
      <x:c r="B9" s="42" t="str">
        <x:v>Choose a Reporting Month on the Dashboard.</x:v>
      </x:c>
      <x:c r="C9" s="42" t="str">
        <x:v>Updates the KPI cards and expense analysis.</x:v>
      </x:c>
      <x:c r="D9" s="42" t="str">
        <x:v>Client</x:v>
      </x:c>
    </x:row>
    <x:row r="10">
      <x:c r="A10" s="233" t="str">
        <x:v>7</x:v>
      </x:c>
      <x:c r="B10" s="234" t="str">
        <x:v>Export the Dashboard as PDF for the monthly client report.</x:v>
      </x:c>
      <x:c r="C10" s="234" t="str">
        <x:v>Creates a professional recurring deliverable.</x:v>
      </x:c>
      <x:c r="D10" s="234" t="str">
        <x:v>You</x:v>
      </x:c>
    </x:row>
    <x:row r="12">
      <x:c r="A12" s="85" t="str">
        <x:v>Important Scope Boundary</x:v>
      </x:c>
      <x:c r="B12" s="85"/>
      <x:c r="C12" s="85"/>
      <x:c r="D12" s="85"/>
    </x:row>
    <x:row r="13">
      <x:c r="A13" s="240" t="str">
        <x:v>This workbook is designed for internal organization and management reporting. It is not a substitute for tax preparation, audited financial statements, or professional accounting advice. Have the client's CPA or bookkeeper approve tax classifications and formal accounting treatment.</x:v>
      </x:c>
      <x:c r="B13" s="240"/>
      <x:c r="C13" s="240"/>
      <x:c r="D13" s="240"/>
    </x:row>
    <x:row r="14">
      <x:c r="A14" s="240"/>
      <x:c r="B14" s="240"/>
      <x:c r="C14" s="240"/>
      <x:c r="D14" s="240"/>
    </x:row>
    <x:row r="15">
      <x:c r="A15" s="240"/>
      <x:c r="B15" s="240"/>
      <x:c r="C15" s="240"/>
      <x:c r="D15" s="240"/>
    </x:row>
    <x:row r="16">
      <x:c r="A16" s="240"/>
      <x:c r="B16" s="240"/>
      <x:c r="C16" s="240"/>
      <x:c r="D16" s="240"/>
    </x:row>
  </x:sheetData>
  <x:mergeCells>
    <x:mergeCell ref="A1:H1"/>
    <x:mergeCell ref="A12:D12"/>
    <x:mergeCell ref="A13:D16"/>
  </x:mergeCells>
  <x:pageMargins left="0.7" right="0.7" top="0.75" bottom="0.75" header="0.3" footer="0.3"/>
</x:worksheet>
</file>